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idaniele\Desktop\Trabajo\Sites\DX PS\WD\"/>
    </mc:Choice>
  </mc:AlternateContent>
  <xr:revisionPtr revIDLastSave="0" documentId="13_ncr:1_{F00EE00C-5DE7-4CC4-BFB1-64B8AE5535E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A Traffic Analysis" sheetId="1" r:id="rId1"/>
    <sheet name="URLs to 301" sheetId="2" r:id="rId2"/>
  </sheets>
  <definedNames>
    <definedName name="_xlnm._FilterDatabase" localSheetId="1" hidden="1">'URLs to 301'!$B$5:$D$494</definedName>
    <definedName name="D40.04">'GA Traffic Analysis'!$B$3508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F1037" i="1"/>
  <c r="B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B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B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B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B9" i="1"/>
</calcChain>
</file>

<file path=xl/sharedStrings.xml><?xml version="1.0" encoding="utf-8"?>
<sst xmlns="http://schemas.openxmlformats.org/spreadsheetml/2006/main" count="2430" uniqueCount="1360">
  <si>
    <t>Washington Diamond</t>
  </si>
  <si>
    <t>Google Analytics Traffic Analysis</t>
  </si>
  <si>
    <t>Domain</t>
  </si>
  <si>
    <t>Total Entrances</t>
  </si>
  <si>
    <t>www.washingtondiamond.com</t>
  </si>
  <si>
    <t>Checkpoints</t>
  </si>
  <si>
    <t>Page</t>
  </si>
  <si>
    <t>Entrances</t>
  </si>
  <si>
    <t>Impact</t>
  </si>
  <si>
    <t>Notes</t>
  </si>
  <si>
    <t>/pages/diamond-price-calculator</t>
  </si>
  <si>
    <t>/</t>
  </si>
  <si>
    <t>Homepage doesn´t need to be redirected</t>
  </si>
  <si>
    <t>/sell-diamond-ring</t>
  </si>
  <si>
    <t>/services/jewelry-repairs-and-restoration</t>
  </si>
  <si>
    <t>/contact</t>
  </si>
  <si>
    <t>/make-an-appointment</t>
  </si>
  <si>
    <t>/diamonds?carat=0.1-6</t>
  </si>
  <si>
    <t>/blog-post/a-gift-from-the-gods-the-legend-and-symbolism-of-the-diamond</t>
  </si>
  <si>
    <t>/engagement-rings/custom</t>
  </si>
  <si>
    <t>/blog-post/130-wedding-band-engraving-ideas-personalize-your-love-story</t>
  </si>
  <si>
    <t>/blog-post/what-does-ethically-sourced-actually-mean</t>
  </si>
  <si>
    <t>/pages/ethically-sourced</t>
  </si>
  <si>
    <t>/diamonds</t>
  </si>
  <si>
    <t>/jewelry</t>
  </si>
  <si>
    <t>/jewelry-details/anniversary-rings/lyria-leaves-wedding-band-from-the-movie-the-vow-18kt-yellow-gold/26716</t>
  </si>
  <si>
    <t>/pages/gemstones</t>
  </si>
  <si>
    <t>/about</t>
  </si>
  <si>
    <t>/pages/thank-you-consign-my-diamond?whence=</t>
  </si>
  <si>
    <t>/pages/jewelry-appraisals</t>
  </si>
  <si>
    <t>/jewelry-details/engagement-rings/platinum-inset-diamond-head-engagement-ring-setting/209552</t>
  </si>
  <si>
    <t>/jewelry/wedding-rings/diamond-wedding-bands</t>
  </si>
  <si>
    <t>/jewelry-details/engagement-rings/platinum-tulip-head-diamond-solitaire-engagement-ring-setting/26749</t>
  </si>
  <si>
    <t>/pages/custom-jewelry</t>
  </si>
  <si>
    <t>/diamonds/gia-certified</t>
  </si>
  <si>
    <t>/jewelry/pearls</t>
  </si>
  <si>
    <t>/pages/pricing-comparison-infographic</t>
  </si>
  <si>
    <t>/blog-post/calculate-the-value-of-a-diamond-before-you-buy-or-sell</t>
  </si>
  <si>
    <t>/jewelry-details/engagement-rings/stunning-4-carat-princess-cut-double-row-diamond-engagement-ring/637128</t>
  </si>
  <si>
    <t>/jewelry-details/wedding-rings/14kt-white-gold-alternating-square-and-round-bezel-set-diamond-wedding-band/208020</t>
  </si>
  <si>
    <t>/pages/washington-dc-custom-wedding-bands</t>
  </si>
  <si>
    <t>/jewelry-details/gemstone-rings/platinum-3-stone-ruby-ring-with-center-oval-ruby-228ct-ruby-and-2-oval-diamond-ring/26304</t>
  </si>
  <si>
    <t>/blog-post/diamond-shape-and-personality-whats-your-perfect-match</t>
  </si>
  <si>
    <t>/jewelry-details/gemstone-rings/halo-style-tsavorite-green-garnet-cocktail-ring/26291</t>
  </si>
  <si>
    <t>/jewelry-details/necklaces/platinum-shared-prong-drop-bar-3-diamond-pendant/623657</t>
  </si>
  <si>
    <t>/jewelry/engagement-rings/brand/vintage</t>
  </si>
  <si>
    <t>/jewelry/earrings/diamond-earrings</t>
  </si>
  <si>
    <t>/pages/diamond-consignment-service</t>
  </si>
  <si>
    <t>/pages/mens-and-womens-wedding-bands-washington-dc</t>
  </si>
  <si>
    <t>/blog-post/the-misconceptions-of-lab-grown-diamonds</t>
  </si>
  <si>
    <t>/engagement-rings</t>
  </si>
  <si>
    <t>/jewelry-details/engagement-rings/platinum-knife-edge-solitaire-engagement-ring-setting/26722</t>
  </si>
  <si>
    <t>/jewelry-details/necklaces/16-inch-14k-white-gold-cable-chain-with-lobster-clasp/636435</t>
  </si>
  <si>
    <t>/jewelry/engagement-rings</t>
  </si>
  <si>
    <t>/jewelry-details/necklaces/platinum-circle-pave-set-diamond-pendant/25616</t>
  </si>
  <si>
    <t>/jewelry/brand/vintage</t>
  </si>
  <si>
    <t>/jewelry/earrings</t>
  </si>
  <si>
    <t>/jewelry-details/wedding-rings/hidden-diamond-rounded-platinum-wedding-band/26473</t>
  </si>
  <si>
    <t>/our-diamonds</t>
  </si>
  <si>
    <t>/jewelry-details/anniversary-rings/platinum-tiffany-style-aria-eternity-diamond-band/740906</t>
  </si>
  <si>
    <t>/jewelry-details/bracelets/14k-yellow-gold-diamond-bangle-bracelet/25953</t>
  </si>
  <si>
    <t>/jewelry-details/wedding-rings/65mm-platinum-swirl-wire-brushed-and-rounded-edge-mens-wedding-band/26686</t>
  </si>
  <si>
    <t>/jewelry/wedding-rings/wedding-bands-for-men</t>
  </si>
  <si>
    <t>/pages/washington-diamond-wholesale</t>
  </si>
  <si>
    <t>/services</t>
  </si>
  <si>
    <t>/jewelry-details/engagement-rings/crossover-cathedral-square-diamond-platinum-engagement-ring-mounting/724875</t>
  </si>
  <si>
    <t>/jewelry-details/engagement-rings/platinum-genuine-steven-kretchmer-tension-ring-setting/210430</t>
  </si>
  <si>
    <t>/jewelry-details/engagement-rings/platinum-solitaire-engagement-ring-setting/26732</t>
  </si>
  <si>
    <t>/jewelry/engagement-rings/brand/three-stone</t>
  </si>
  <si>
    <t>/start-a-project</t>
  </si>
  <si>
    <t>/jewelry-details/engagement-rings/three-stone-sapphire-and-diamond-engagement-ring-setting/209880</t>
  </si>
  <si>
    <t>/jewelry-details/necklaces/beautiful-18k-white-gold-pink-sapphire-and-diamond-necklace/25688</t>
  </si>
  <si>
    <t>/jewelry-details/wedding-rings/platinum-gold-curved-diamond-ring-jacket/637243</t>
  </si>
  <si>
    <t>/jewelry/bracelets</t>
  </si>
  <si>
    <t>/pages/our-history</t>
  </si>
  <si>
    <t>/jewelry-details/anniversary-rings/multi-row-150-carat-diamond-14k-white-gold-french-pave-ring/652680</t>
  </si>
  <si>
    <t>/jewelry-details/earrings/14k-yellow-gold-hinged-hoop-earrings/26892</t>
  </si>
  <si>
    <t>/jewelry-details/engagement-rings/three-stone-304-carat-radiant-diamond-100-carat-trapezoidal-sapphire-platinum-channel-set-diamond-ring/649758</t>
  </si>
  <si>
    <t>/jewelry-details/engagement-rings/three-stone-emerald-cut-baguette-diamond-platinum-engagement-ring/725141</t>
  </si>
  <si>
    <t>/jewelry-details/wedding-rings/18k-white-gold-alternating-diamond-wedding-band/637402</t>
  </si>
  <si>
    <t>/jewelry-details/wedding-rings/45mm-18k-yellow-gold-euro-style-mens-wedding-band/26715</t>
  </si>
  <si>
    <t>/pages/washington-dc-engagement-rings</t>
  </si>
  <si>
    <t>/engagement-rings/guide</t>
  </si>
  <si>
    <t>/jewelry-details/wedding-rings/platinum-diamond-curved-wedding-band/26374</t>
  </si>
  <si>
    <t>/jewelry/anniversary-rings/gemstone-anniversary-rings</t>
  </si>
  <si>
    <t>/jewelry/necklaces/diamond-necklaces-and-pendants</t>
  </si>
  <si>
    <t>/wedding-rings/wedding-band-guide</t>
  </si>
  <si>
    <t>/diamonds?carat=1.2-6&amp;color=any-f&amp;clarity=vs1-vvs2&amp;cut=any-verygood</t>
  </si>
  <si>
    <t>/engagement-rings/schedule-private-ring-consultation</t>
  </si>
  <si>
    <t>/jewelry-details/anniversary-rings/customizable-platinum-birthstone-ring/652510</t>
  </si>
  <si>
    <t>/jewelry-details/earrings/ruby-earring-jackets/25846</t>
  </si>
  <si>
    <t>/jewelry-details/necklaces/enchanting-ocean-blue-green-pear-shaped-beryl-and-diamond-pendant/637194</t>
  </si>
  <si>
    <t>/ringsettings-details/engagement-ring-settings/14k-white-gold-round-halo-engagement-ring/647143</t>
  </si>
  <si>
    <t>/wedding-rings/custom-wedding-bands</t>
  </si>
  <si>
    <t>/diamonds/buying-guide</t>
  </si>
  <si>
    <t>/jewelry-details/engagement-rings/classic-french-pave-diamond-engagement-ring-setting/26261</t>
  </si>
  <si>
    <t>/jewelry-details/engagement-rings/luna-hidden-halo-platinum-diamond-engagement-ring-setting/47147</t>
  </si>
  <si>
    <t>/jewelry-details/engagement-rings/platinum-split-shank-pear-shape-design-engagement-ring-mounting/210156</t>
  </si>
  <si>
    <t>/jewelry-details/wedding-rings/14kt-white-gold-diamond-ring-jacket/208046</t>
  </si>
  <si>
    <t>/jewelry?kw=lab-grown-diamonds</t>
  </si>
  <si>
    <t>/jewelry/anniversary-rings</t>
  </si>
  <si>
    <t>/jewelry/engagement-rings/gemstone-engagement-rings</t>
  </si>
  <si>
    <t>/jewelry-details/bracelets/14k-rose-gold-diamond-bangle-bracelet/25951</t>
  </si>
  <si>
    <t>/jewelry-details/earrings/aquamarine-and-diamond-halo-earrings/25876</t>
  </si>
  <si>
    <t>/jewelry-details/engagement-rings/edwardian-inspired-platinum-engraved-ring/26805</t>
  </si>
  <si>
    <t>/jewelry-details/engagement-rings/hidden-halo-pave-style-diamond-engagement-mounting/636300</t>
  </si>
  <si>
    <t>/jewelry-details/engagement-rings/ingrid-intricate-white-gold-marquise-and-round-diamond-engagement-ring-setting/26203</t>
  </si>
  <si>
    <t>/jewelry-details/engagement-rings/platinum-and-diamond-split-shank-engagement-ring-setting/26937</t>
  </si>
  <si>
    <t>/jewelry-details/engagement-rings/solid-split-prong-high-quality-diamond-engagement-ring-setting/26221</t>
  </si>
  <si>
    <t>/jewelry-details/engagement-rings/timeless-tapered-baguette-diamond-engagement-ring-setting-carat/26197</t>
  </si>
  <si>
    <t>/jewelry-details/wedding-rings/golden-twine-18k-yellow-gold-twisting-diamond-eternity-wedding-band-042cts/26412</t>
  </si>
  <si>
    <t>/jewelry-details/wedding-rings/half-rounded-platinum-1mm-spacer-ring/652444</t>
  </si>
  <si>
    <t>/jewelry-details/wedding-rings/platinum-curved-style-thin-diamond-wedding-band/26379</t>
  </si>
  <si>
    <t>/jewelry-details/wedding-rings/platinum-semi-bezel-set-diamond-wedding-band/26599</t>
  </si>
  <si>
    <t>/jewelry/engagement-rings?pageNum=3</t>
  </si>
  <si>
    <t>/jewelry/wedding-rings/wedding-bands-for-men?sortSpec=lowtohigh</t>
  </si>
  <si>
    <t>/jewelry/wedding-rings/wedding-bands-for-women</t>
  </si>
  <si>
    <t>/pages/cleaning-inspection-service</t>
  </si>
  <si>
    <t>/pages/diamonds-all-shapes</t>
  </si>
  <si>
    <t>/pages/financing</t>
  </si>
  <si>
    <t>/ringsettings-details/engagement-ring-settings/14k-white-gold-round-halo-engagement-ring/647157</t>
  </si>
  <si>
    <t>/diamonds/loose-diamonds</t>
  </si>
  <si>
    <t>/jewelry-details/bracelets/14k-rose-gold-chain-bar-diamond-bracelet/26906</t>
  </si>
  <si>
    <t>/jewelry-details/bracelets/two-tone-horse-bit-clasp-diamond-bracelet/25961</t>
  </si>
  <si>
    <t>/jewelry-details/earrings/diamond-stud-earrings-033cttw-i-j-si/25817</t>
  </si>
  <si>
    <t>/jewelry-details/earrings/emerald-earring-jackets/25848</t>
  </si>
  <si>
    <t>/jewelry-details/engagement-rings/majestic-125-carat-diamond-double-row-platinum-engagement-ring-setting/725023</t>
  </si>
  <si>
    <t>/jewelry-details/engagement-rings/platinum-flush-fit-diamond-solitaire-engagement-ring-setting/26740</t>
  </si>
  <si>
    <t>/jewelry-details/engagement-rings/three-stone-025-carat-tapered-baguette-diamond-18k-yellow-gold-platinum-engagement-setting/640358</t>
  </si>
  <si>
    <t>/jewelry-details/wedding-rings/7mm-platinum-satin-finish-mens-black-diamond-wedding-band-054cts/26658</t>
  </si>
  <si>
    <t>/jewelry/bracelets/precious-metal-bracelets</t>
  </si>
  <si>
    <t>/jewelry/engagement-rings/for-women</t>
  </si>
  <si>
    <t>/jewelry/gifts/may-birthstone-emerald-jewelry</t>
  </si>
  <si>
    <t>/jewelry/wedding-rings</t>
  </si>
  <si>
    <t>/education-gemstones</t>
  </si>
  <si>
    <t>/jewelry-details/earrings/stunning-emerald-drop-earrings-in-a-halo-of-diamonds/25844</t>
  </si>
  <si>
    <t>/jewelry-details/engagement-rings/gia-150ct-rbc-j-si1-platinum/207754</t>
  </si>
  <si>
    <t>/jewelry-details/engagement-rings/kayla-solitaire-collar-engagement-ring-setting/209886</t>
  </si>
  <si>
    <t>/jewelry-details/engagement-rings/platinum-half-bezel-set-solitaire-diamond-engagement-setting/210420</t>
  </si>
  <si>
    <t>/jewelry-details/wedding-rings/hidden-diamond-rounded-18k-rose-gold-wedding-band/26474</t>
  </si>
  <si>
    <t>/jewelry-details/wedding-rings/platinum-azure-channel-style-bead-set-diamond-wedding-band/26376</t>
  </si>
  <si>
    <t>/jewelry?kw=alexandrite</t>
  </si>
  <si>
    <t>/jewelry/anniversary-rings/diamond-anniversary-rings</t>
  </si>
  <si>
    <t>/jewelry/engagement-rings/engagement-ring-settings</t>
  </si>
  <si>
    <t>/jewelry/necklaces/chains</t>
  </si>
  <si>
    <t>/pages/diamond-buying-tips</t>
  </si>
  <si>
    <t>/pages/guarantee</t>
  </si>
  <si>
    <t>/ringsettings-details/engagement-ring-settings/14k-white-gold-round-halo-engagement-ring/647213</t>
  </si>
  <si>
    <t>/testimonials</t>
  </si>
  <si>
    <t>/blog</t>
  </si>
  <si>
    <t>/blog-post/dont-let-jewelry-wear-and-tear-get-you-down</t>
  </si>
  <si>
    <t>/cart</t>
  </si>
  <si>
    <t>/diamonds-details?id=108817542</t>
  </si>
  <si>
    <t>/education-diamonds</t>
  </si>
  <si>
    <t>/education-gold-buying</t>
  </si>
  <si>
    <t>/jewelry-details/bracelets/14k-white-gold-triple-row-diamond-bangle/25954</t>
  </si>
  <si>
    <t>/jewelry-details/earrings/14kg-small-twisted-hoop-earrings/26901</t>
  </si>
  <si>
    <t>/jewelry-details/earrings/petite-14kt-yellow-gold-tumbleweed-earrings/25891</t>
  </si>
  <si>
    <t>/jewelry-details/engagement-rings/annabelle-400-carat-radiant-cut-three-stone-diamond-platinum-engagement-ring/728372</t>
  </si>
  <si>
    <t>/jewelry-details/engagement-rings/semi-split-solitaire-engagement-ring-setting/26728</t>
  </si>
  <si>
    <t>/jewelry-details/engagement-rings/stunning-18kt-yellow-gold-cushion-hidden-halo-engagement-ring-setting/26186</t>
  </si>
  <si>
    <t>/jewelry-details/necklaces/platinum-halo-bezel-set-diamond-pendant/25622</t>
  </si>
  <si>
    <t>/jewelry-details/wedding-rings/14kt-white-gold-curved-diamond-ring-jacket/208042</t>
  </si>
  <si>
    <t>/jewelry-details/wedding-rings/5mm-18k-yellow-gold-euro-style-mens-wedding-band/25578</t>
  </si>
  <si>
    <t>/jewelry-details/wedding-rings/bead-set-milgrain-edge-diamond-wedding-band/26581</t>
  </si>
  <si>
    <t>/jewelry-details/wedding-rings/platinum-u-shaped-shared-prong-diamond-eternity-band/26595</t>
  </si>
  <si>
    <t>/jewelry-details/wedding-rings/tapered-center-020-carat-diamond-18k-yellow-gold-curved-wedding-band/725173</t>
  </si>
  <si>
    <t>/jewelry-details/wedding-rings/vintage-rose-gold-diamond-wedding-band/26403</t>
  </si>
  <si>
    <t>/jewelry/earrings/diamond-stud-earrings</t>
  </si>
  <si>
    <t>/jewelry/gemstone-jewelry/gemstone-rings</t>
  </si>
  <si>
    <t>/jewelry/necklaces</t>
  </si>
  <si>
    <t>/jewelry/pearls/pearl-strands</t>
  </si>
  <si>
    <t>/pages/</t>
  </si>
  <si>
    <t>/pages/diamond-upgrades</t>
  </si>
  <si>
    <t>/pages/diamonds-shape-by-shape</t>
  </si>
  <si>
    <t>/pages/exceptional-diamond-collection</t>
  </si>
  <si>
    <t>/pages/mothers-day</t>
  </si>
  <si>
    <t>/ringsettings</t>
  </si>
  <si>
    <t>/ringsettings-details/engagement-ring-settings/platinum-three-stone-round-engagement-ring/646705</t>
  </si>
  <si>
    <t>/ringsettings-diamonds?carat=0.1-6</t>
  </si>
  <si>
    <t>/?pageNum=8</t>
  </si>
  <si>
    <t>/blog-post/celebrate-junes-birthstone-the-radiant-pearls</t>
  </si>
  <si>
    <t>/cache/cache_HOME.html</t>
  </si>
  <si>
    <t>/diamonds?carat=0.1-6&amp;color=any-f</t>
  </si>
  <si>
    <t>/diamonds?carat=0.1-6&amp;diamondshape=round</t>
  </si>
  <si>
    <t>/diamonds?diamondshape=round&amp;carat=0.1-6</t>
  </si>
  <si>
    <t>/diamonds/cushion-cut</t>
  </si>
  <si>
    <t>/education</t>
  </si>
  <si>
    <t>/jewelry-details/earrings/beautiful-diamond-hoop-earrings/25801</t>
  </si>
  <si>
    <t>/jewelry-details/earrings/custom-18ky-emerald-cut-gem-emerald-earrings-460ct/637426</t>
  </si>
  <si>
    <t>/jewelry-details/earrings/pear-shape-blue-sapphire-diamonds-14k-white-gold-earrings/652958</t>
  </si>
  <si>
    <t>/jewelry-details/engagement-rings/18k-white-and-rose-gold-floral-bypass-engagement-ring-setting/26920</t>
  </si>
  <si>
    <t>/jewelry-details/engagement-rings/classic-yellow-gold-solitaire-engagement-ring-setting/26756</t>
  </si>
  <si>
    <t>/jewelry-details/engagement-rings/cushion-shaped-071-carat-diamond-halo-18k-white-gold-cathedral-style-engagement-ring-setting/725189</t>
  </si>
  <si>
    <t>/jewelry-details/engagement-rings/hidden-halo-042-carat-diamond-18k-white-gold-oval-engagement-setting/649672</t>
  </si>
  <si>
    <t>/jewelry-details/engagement-rings/high-quality-platinum-straight-line-diamond-engagement-ring-setting/26260</t>
  </si>
  <si>
    <t>/jewelry-details/engagement-rings/imperial-202-carat-diamond-halo-swirling-cathedral-style-platinum-engagement-ring-setting/725029</t>
  </si>
  <si>
    <t>/jewelry-details/engagement-rings/split-shank-070-carat-diamond-platinum-solitaire-engagement-ring/26344</t>
  </si>
  <si>
    <t>/jewelry-details/gemstone-rings/three-stone-335-emerald-cut-ruby-120-carat-emerald-cut-diamond-platinum-ring/725152</t>
  </si>
  <si>
    <t>/jewelry-details/necklaces/18-inch-triple-strand-chain-in-14k-white-gold/26084</t>
  </si>
  <si>
    <t>/jewelry-details/necklaces/18kt-rose-gold-necklace-set-with-4-various-shape-rose-cut-diamonds-necklace/25650</t>
  </si>
  <si>
    <t>/jewelry-details/necklaces/petite-033-carat-pear-shaped-diamond-18k-white-gold-bezel-set-necklace/26830</t>
  </si>
  <si>
    <t>/jewelry-details/platinum-princess-cut-novo-engagement-ring-setting/26730</t>
  </si>
  <si>
    <t>/jewelry-details/wedding-rings/6mm-platinum-matte-and-mirror-lined-mens-wedding-band/26677</t>
  </si>
  <si>
    <t>/jewelry-details/wedding-rings/platinum-bar-set-baguette-round-diamond-wedding-band/26480</t>
  </si>
  <si>
    <t>/jewelry-details/wedding-rings/platinum-bead-set-channel-style-diamond-wedding-band/26369</t>
  </si>
  <si>
    <t>/jewelry-details/wedding-rings/platinum-channel-set-diamond-wedding-band/26378</t>
  </si>
  <si>
    <t>/jewelry-details/wedding-rings/platinum-channel-set-emerald-cut-diamond-wedding-band/26485</t>
  </si>
  <si>
    <t>/jewelry-details/wedding-rings/platinum-channel-set-eternity-diamond-wedding-band/26592</t>
  </si>
  <si>
    <t>/jewelry-details/wedding-rings/platinum-curved-prong-set-diamond-wedding-band/26359</t>
  </si>
  <si>
    <t>/jewelry-details/wedding-rings/platinum-riley-u-shaped-eternity-band/26429</t>
  </si>
  <si>
    <t>/jewelry-details/wedding-rings/platinum-shared-prong-wedding-band-9-diamonds-half-carat/26566</t>
  </si>
  <si>
    <t>/jewelry/bracelets/diamond-bracelets?showAll=true&amp;sortSpec=lowtohigh</t>
  </si>
  <si>
    <t>/jewelry/brand/tantalum</t>
  </si>
  <si>
    <t>/jewelry/engagement-rings/brand/halo</t>
  </si>
  <si>
    <t>/jewelry/gemstone-jewelry</t>
  </si>
  <si>
    <t>/jewelry/pearls?showAll=true</t>
  </si>
  <si>
    <t>/jewelry/wedding-rings/diamond-wedding-bands?showAll=true</t>
  </si>
  <si>
    <t>/pages/engagement-rings-popular-styles</t>
  </si>
  <si>
    <t>/pages/metal-buying</t>
  </si>
  <si>
    <t>/ringsettings-details/engagement-ring-settings/10k-white-gold-engagement-ring/644365</t>
  </si>
  <si>
    <t>/ringsettings-details/engagement-ring-settings/14k-yellow-gold-round-halo-engagement-ring/648503</t>
  </si>
  <si>
    <t>/ringsettings-details/engagement-ring-settings/platinum-halo-engagement-ring/647781</t>
  </si>
  <si>
    <t>/specials</t>
  </si>
  <si>
    <t>/diamonds?diamondshape=radiant&amp;lab=Forevermark&amp;labGrown=0</t>
  </si>
  <si>
    <t>/diamonds?diamondshape=round&amp;carat=0.1-6&amp;color=f-f&amp;cut=good-verygood&amp;clarity=vvs1-vvs2</t>
  </si>
  <si>
    <t>/education-diamond-buying</t>
  </si>
  <si>
    <t>/education-settings</t>
  </si>
  <si>
    <t>/jewelry-details/anniversary-rings/18k-white-gold-multi-row-cluster-ring/652532</t>
  </si>
  <si>
    <t>/jewelry-details/anniversary-rings/circlet-twisted-stackable-band-14k-yellow-gold/652520</t>
  </si>
  <si>
    <t>/jewelry-details/bracelets/14-karat-white-gold-diamond-bangle-bracelet/209242</t>
  </si>
  <si>
    <t>/jewelry-details/bracelets/554-carat-round-and-baguette-diamond-bracelet/25962</t>
  </si>
  <si>
    <t>/jewelry-details/bracelets/brilliant-diamond-flex-open-cuff-18k-yellow-white-gold-bracelet/728328</t>
  </si>
  <si>
    <t>/jewelry-details/bracelets/semi-bezel-set-600-carat-diamond-14k-white-gold-tennis-bracelet/637287</t>
  </si>
  <si>
    <t>/jewelry-details/earrings/blue-sapphire-earring-jackets/25845</t>
  </si>
  <si>
    <t>/jewelry-details/earrings/channel-set-044-carat-baguette-diamond-14k-white-gold-hoop-earrings/637273</t>
  </si>
  <si>
    <t>/jewelry-details/earrings/three-prong-065-carat-sapphire-14k-white-gold-stud-earrings/637416</t>
  </si>
  <si>
    <t>/jewelry-details/engagement-rings/18k-rose-gold-oval-diamond-engagement-ring-with-double-row-pave/26347</t>
  </si>
  <si>
    <t>/jewelry-details/engagement-rings/18k-yellow-gold-lumiere-diamond-antique-rose-cut-solitaire-engagement-ring/26935</t>
  </si>
  <si>
    <t>/jewelry-details/engagement-rings/lynea-open-style-engagement-ring-setting/637232</t>
  </si>
  <si>
    <t>/jewelry-details/engagement-rings/mirabella-split-shank-oval-diamond-halo-18k-white-gold-decorous-engagement-ring-setting/725185</t>
  </si>
  <si>
    <t>/jewelry-details/engagement-rings/modern-emerald-cut-solitaire-engagement-ring/207694</t>
  </si>
  <si>
    <t>/jewelry-details/engagement-rings/oval-164-carat-diamond-halo-14k-white-gold-engagement-ring/26840</t>
  </si>
  <si>
    <t>/jewelry-details/engagement-rings/plat-dias-shared-prong-eng-mtg-set-w-12-rbc-060cts-tw/209732</t>
  </si>
  <si>
    <t>/jewelry-details/engagement-rings/platinum-abigail-diamond-solitaire-engagement-ring-setting/26735</t>
  </si>
  <si>
    <t>/jewelry-details/engagement-rings/platinum-knife-edge-diamond-solitaire-engagement-ring-setting/571646</t>
  </si>
  <si>
    <t>/jewelry-details/engagement-rings/platinum-oval-diamond-engagement-solitaire-ring/207786</t>
  </si>
  <si>
    <t>/jewelry-details/engagement-rings/stunning-platinum-diamond-sunburst-halo-prong-ring/26202</t>
  </si>
  <si>
    <t>/jewelry-details/engagement-rings/the-aileen-diamond-halo-engagement-ring-setting-is-made-in-14-karat-rose-gold/26212</t>
  </si>
  <si>
    <t>/jewelry-details/engagement-rings/thin-016-carat-diamond-platinum-engagement-ring-mounting/26265</t>
  </si>
  <si>
    <t>/jewelry-details/engagement-rings/timeless-tapered-baguette-diamond-engagement-ring-setting-14-carat/637094</t>
  </si>
  <si>
    <t>/jewelry-details/gemstone-rings/beautiful-emerald-and-diamond-halo-ring/26322</t>
  </si>
  <si>
    <t>/jewelry-details/gemstone-rings/wondrous-pear-shaped-pink-morganite-diamond-halo-18k-rose-gold-fashion-ring/728374</t>
  </si>
  <si>
    <t>/jewelry-details/necklaces/18-14k-yellow-gold-15mm-oval-dc-link-chain/649720</t>
  </si>
  <si>
    <t>/jewelry-details/necklaces/bezel-set-diamond-pendant/25652</t>
  </si>
  <si>
    <t>/jewelry-details/necklaces/platinum-diamond-bar-style-pendant/587867</t>
  </si>
  <si>
    <t>/jewelry-details/necklaces/stunning-emerald-and-diamond-necklace-in-18-karat-white-gold/25682</t>
  </si>
  <si>
    <t>/jewelry-details/pearls/japanese-akoya-pearl-necklace/26039</t>
  </si>
  <si>
    <t>/jewelry-details/pearls/pearl-strand-18-80-85mm-akoya-south-sea-mix-japan-14kt-yellow-gold-clasp/26066</t>
  </si>
  <si>
    <t>/jewelry-details/wedding-rings/14kt-white-gold-twisted-weave-design-wedding-band/208028</t>
  </si>
  <si>
    <t>/jewelry-details/wedding-rings/18kt-2-rowside-by-side-blue-sapphire-diamond-band-1-row-of-sapphires77cts-1-row-of-diamonds24/728382</t>
  </si>
  <si>
    <t>250 redirects</t>
  </si>
  <si>
    <t>/jewelry-details/wedding-rings/2mm-platinum-comfort-fit-wedding-band/26604</t>
  </si>
  <si>
    <t>/jewelry-details/wedding-rings/45mm-platinum-wedding-band/25547</t>
  </si>
  <si>
    <t>/jewelry-details/wedding-rings/6mm-18k-yellow-gold-euro-style-mens-wedding-band/25580</t>
  </si>
  <si>
    <t>/jewelry-details/wedding-rings/azure-platinum-eternity-shared-prong-ring/391087</t>
  </si>
  <si>
    <t>/jewelry-details/wedding-rings/clever-hidden-shared-prong-diamond-wedding-band/640324</t>
  </si>
  <si>
    <t>/jewelry-details/wedding-rings/micro-prong-set-diamond-wedding-band/26443</t>
  </si>
  <si>
    <t>/jewelry-details/wedding-rings/platinum-channel-set-princess-cut-diamond-wedding-band/26491</t>
  </si>
  <si>
    <t>/jewelry-details/wedding-rings/platinum-curved-fit-diamond-wedding-band/26361</t>
  </si>
  <si>
    <t>/jewelry-details/wedding-rings/platinum-gold-round-and-marquise-shape-diamond-wedding-band/587773</t>
  </si>
  <si>
    <t>/jewelry-details/wedding-rings/platinum-shared-prong-diamond-wedding-band-/26584</t>
  </si>
  <si>
    <t>/jewelry-details/wedding-rings/thin-platinum-22mm-shared-prong-diamond-wedding-band/26372</t>
  </si>
  <si>
    <t>/jewelry?kw=emerald</t>
  </si>
  <si>
    <t>/jewelry/anniversary-rings?pageNum=2</t>
  </si>
  <si>
    <t>/jewelry/bracelets/diamond-bracelets</t>
  </si>
  <si>
    <t>/jewelry/brand/cross</t>
  </si>
  <si>
    <t>/jewelry/gemstone-jewelry/gemstone-fashion-rings?sortSpec=lowtohigh</t>
  </si>
  <si>
    <t>/jewelry/necklaces?pageNum=3</t>
  </si>
  <si>
    <t>/jewelry/necklaces/precious-metal-necklaces-and-pendants</t>
  </si>
  <si>
    <t>/jewelry/the-wedding-boutique/wedding-guest-jewelry</t>
  </si>
  <si>
    <t>/pages/diamond-price-calculator?shape=R&amp;carat=2.30&amp;color=E&amp;clarity=3&amp;lab=&amp;proportions=</t>
  </si>
  <si>
    <t>/pages/dpc-test</t>
  </si>
  <si>
    <t>/pages/thank-you-contact-us</t>
  </si>
  <si>
    <t>/ringsettings-complete</t>
  </si>
  <si>
    <t>/ringsettings-details/engagement-ring-settings/14k-white-gold-round-halo-engagement-ring/647241</t>
  </si>
  <si>
    <t>/ringsettings-details/engagement-ring-settings/14k-yellow-gold-emerald-halo-engagement-ring/647425</t>
  </si>
  <si>
    <t>/ringsettings-details/engagement-ring-settings/18k-yellow-gold-oval-halo-engagement-ring/645505</t>
  </si>
  <si>
    <t>/ringsettings-details/engagement-ring-settings/platinum-antique-engagement-ring/648957</t>
  </si>
  <si>
    <t>/ringsettings-details/engagement-ring-settings/platinum-three-stone-round-engagement-ring/646733</t>
  </si>
  <si>
    <t>/ringsettings-diamonds</t>
  </si>
  <si>
    <t>/ringsettings?settingType=Solitaire</t>
  </si>
  <si>
    <t>/ringsettings?settingType=Solitaire,Side Stone,Pave,Antique,Single Row,Multi Row,Bypass</t>
  </si>
  <si>
    <t>/blog-post/which-ring-rocks-your-world</t>
  </si>
  <si>
    <t>/diamonds-details?id=132049302</t>
  </si>
  <si>
    <t>/diamonds-details?id=146451119</t>
  </si>
  <si>
    <t>/diamonds-details?id=151916066</t>
  </si>
  <si>
    <t>/diamonds-details?id=153420139</t>
  </si>
  <si>
    <t>/diamonds-details?id=40313193</t>
  </si>
  <si>
    <t>/diamonds?diamondshape=emerald&amp;carat=2-6&amp;color=any-g&amp;clarity=any-vs1&amp;cut=any-any</t>
  </si>
  <si>
    <t>/diamonds?diamondshape=oval,pear,emerald&amp;carat=1.5-2</t>
  </si>
  <si>
    <t>/diamonds?diamondshape=round&amp;carat=2.5-3&amp;color=g-h&amp;cut=excellent-any&amp;clarity=vs2-si1&amp;price=0-60000</t>
  </si>
  <si>
    <t>/diamonds?diamondshape=round&amp;lab=Forevermark&amp;labGrown=0&amp;carat=4-6&amp;cut=good-any&amp;color=g-f&amp;clarity=any-si1</t>
  </si>
  <si>
    <t>/diamonds?diamondshape=round&amp;labGrown=0</t>
  </si>
  <si>
    <t>/diamonds/asscher-cut</t>
  </si>
  <si>
    <t>/diamonds/round-cut</t>
  </si>
  <si>
    <t>/education-diamond-care</t>
  </si>
  <si>
    <t>/gemstones/gemstone-engagement-rings</t>
  </si>
  <si>
    <t>/jewelry-details/18kwg-4-prong-oval-eng-sett-32rbc46/209948</t>
  </si>
  <si>
    <t>/jewelry-details/anniversary-rings/lyria-leaves-wedding-band-from-the-movie-the-vow-18kt-white-gold/26717</t>
  </si>
  <si>
    <t>/jewelry-details/anniversary-rings/platinum-tiffany-style-aria-eternity-diamond-band/652554</t>
  </si>
  <si>
    <t>/jewelry-details/bracelets/14k-rose-gold-curved-bangle-bracelet/25955</t>
  </si>
  <si>
    <t>/jewelry-details/bracelets/14k-white-gold-alternating-bar-diamond-bracelet/26907</t>
  </si>
  <si>
    <t>/jewelry-details/bracelets/14kt-curved-design-rose-gold-diamond-stacking-bracelet/25942</t>
  </si>
  <si>
    <t>/jewelry-details/bracelets/14kt-white-gold-diamond-cross-bracelet/587889</t>
  </si>
  <si>
    <t>/jewelry-details/bracelets/18k-yellow-gold-curved-bar-diamond-bracelet/26905</t>
  </si>
  <si>
    <t>/jewelry-details/bracelets/202-carat-diamond-14k-yellow-gold-bangle-bracelet/587881</t>
  </si>
  <si>
    <t>/jewelry-details/bracelets/linked-horse-bit-bracelet/26001</t>
  </si>
  <si>
    <t>/jewelry-details/earrings/14k-white-gold-diamond-huggies/26874</t>
  </si>
  <si>
    <t>/jewelry-details/earrings/14k-yellow-gold-carlanancy-b-hinged-hoop-polished/209218</t>
  </si>
  <si>
    <t>/jewelry-details/earrings/18kw-oval-dark-blue-sapphire-and-diamond-earrings/25862</t>
  </si>
  <si>
    <t>/jewelry-details/earrings/diamond-prong-set-hoop-earrings/25796</t>
  </si>
  <si>
    <t>/jewelry-details/earrings/diamond-stud-earrings-140cttw-g-h-si/25831</t>
  </si>
  <si>
    <t>/jewelry-details/earrings/sapphire-and-diamond-drop-earrings/25861</t>
  </si>
  <si>
    <t>/jewelry-details/engagement-rings/034-carat-hidden-halo-diamond-platinum-engagement-ring-mounting/725304</t>
  </si>
  <si>
    <t>/jewelry-details/engagement-rings/145cts-platinum-cathedral-engagement-setting/210346</t>
  </si>
  <si>
    <t>/jewelry-details/engagement-rings/14kt-white-gold-4-prong-ring-mtg-for-1ct/47176</t>
  </si>
  <si>
    <t>/jewelry-details/engagement-rings/18-karat-white-gold-kimmie-2-piece-engagement-ring-mounting-and-matching-band/26206</t>
  </si>
  <si>
    <t>/jewelry-details/engagement-rings/18k-white-gold-expressive-antique-style-engagement-ring-setting/26919</t>
  </si>
  <si>
    <t>/jewelry-details/engagement-rings/18kt-rose-gold-ella-split-prong-diamond-engagement-ring-setting/26220</t>
  </si>
  <si>
    <t>/jewelry-details/engagement-rings/18kt-rose-gold-sophia-style-diamond-engagement-ring-setting/637114</t>
  </si>
  <si>
    <t>/jewelry-details/engagement-rings/18kwg-4-prong-eng-sett-for-x-38rbc40/209946</t>
  </si>
  <si>
    <t>/jewelry-details/engagement-rings/18ky-prin-cuts-chan-set-eng-mtg-14x70cttw/637184</t>
  </si>
  <si>
    <t>/jewelry-details/engagement-rings/adeline-timeless-platinum-solitaire-crown-head-engagement-mounting/26726</t>
  </si>
  <si>
    <t>/jewelry-details/engagement-rings/alternating-023-carat-diamond-14k-white-gold-round-marquise-shaped-beaded-engagement-ring-setting/649812</t>
  </si>
  <si>
    <t>/jewelry-details/engagement-rings/arista-platinum-solitaire-engagement-ring-setting-medium/26745</t>
  </si>
  <si>
    <t>/jewelry-details/engagement-rings/beautiful-18kt-gold-and-platinum-channel-set-diamond-engagement-mounting/207658</t>
  </si>
  <si>
    <t>/jewelry-details/engagement-rings/beautiful-gia-oval-diamond-halo-engagement-ring/26839</t>
  </si>
  <si>
    <t>/jewelry-details/engagement-rings/best-kept-secret-hidden-halo-diamond-engagement-ring-setting/777848</t>
  </si>
  <si>
    <t>/jewelry-details/engagement-rings/braided-yellow-gold-solitaire-setting/26933</t>
  </si>
  <si>
    <t>/jewelry-details/engagement-rings/double-pave-092-carat-diamond-platinum-split-shank-engagement-ring/26346</t>
  </si>
  <si>
    <t>/jewelry-details/engagement-rings/five-stone-451-carat-diamond-platinum-engagement-ring/724764</t>
  </si>
  <si>
    <t>/jewelry-details/engagement-rings/half-dome-pave-diamond-engagement-ring-setting/26253</t>
  </si>
  <si>
    <t>/jewelry-details/engagement-rings/madeline-diamond-halo-split-prong-engagement-ring-setting/26216</t>
  </si>
  <si>
    <t>/jewelry-details/engagement-rings/oval-078-carat-diamond-14k-rose-gold-halo-engagement-ring/26841</t>
  </si>
  <si>
    <t>/jewelry-details/engagement-rings/oval-halo-braided-eng-mtg-44028-f-vs/210144</t>
  </si>
  <si>
    <t>/jewelry-details/engagement-rings/plat-2-row-46r46-lucy/209564</t>
  </si>
  <si>
    <t>/jewelry-details/engagement-rings/plat-30-rd075-fg-vs/210248</t>
  </si>
  <si>
    <t>/jewelry-details/engagement-rings/plat-spectacular-pave-set-diamond-engagement-mounting/210186</t>
  </si>
  <si>
    <t>/jewelry-details/engagement-rings/platinum-bead-set-diamond-engagement-ring-mounting-with-milgrain-detailing/26257</t>
  </si>
  <si>
    <t>/jewelry-details/engagement-rings/platinum-brooke-antique-inspired-engraved-cathedral-style-engagement-ring-setting/26282</t>
  </si>
  <si>
    <t>/jewelry-details/engagement-rings/platinum-channel-set-diamond-engagement-ring-4-prong-setting/26193</t>
  </si>
  <si>
    <t>/jewelry-details/engagement-rings/platinum-solitaire-engagement-ring-setting-with-basket/26748</t>
  </si>
  <si>
    <t>/jewelry-details/engagement-rings/platinum-solitaire-engagement-ring-setting/26724</t>
  </si>
  <si>
    <t>/jewelry-details/engagement-rings/platinum-sophia-diamond-engagement-ring-setting/26258</t>
  </si>
  <si>
    <t>/jewelry-details/engagement-rings/platinum-sophia-style-diamond-engagement-ring-setting/26280</t>
  </si>
  <si>
    <t>/jewelry-details/engagement-rings/platinum-split-prong-diamond-engagement-ring-setting/26266</t>
  </si>
  <si>
    <t>/jewelry-details/engagement-rings/precious-cushion-cut-pave-engagement-ring/637126</t>
  </si>
  <si>
    <t>/jewelry-details/engagement-rings/seven-stone-diamond-platinum-engagement-ring-mounting/210004</t>
  </si>
  <si>
    <t>/jewelry-details/engagement-rings/split-shank-022-carat-diamond-platinum-engagement-setting/649826</t>
  </si>
  <si>
    <t>/jewelry-details/engagement-rings/split-shank-three-stone-diamond-engagement-ring/207806</t>
  </si>
  <si>
    <t>/jewelry-details/engagement-rings/thin-rounded-rose-gold-solitaire-engagement-ring-setting/26727</t>
  </si>
  <si>
    <t>/jewelry-details/engagement-rings/three-stone-034-carat-pear-shaped-diamond-platinum-engagement-ring-mounting/725161</t>
  </si>
  <si>
    <t>/jewelry-details/engagement-rings/tulip-platinum-head-18k-yellow-gold-engagement-ring-setting/210478</t>
  </si>
  <si>
    <t>/jewelry-details/gemstone-rings/platinum-emerald-cut-ruby-ring/26303</t>
  </si>
  <si>
    <t>/jewelry-details/gemstone-rings/rose-198-carat-rubellite-048-carat-18k-rose-gold-halo-ring/26298</t>
  </si>
  <si>
    <t>/jewelry-details/gemstone-rings/sunny-129-carat-yellow-sapphire-035-carat-diamond-platinum-square-cut-halo-ring/649698</t>
  </si>
  <si>
    <t>/jewelry-details/necklaces/18-inch-14k-white-gold-cable-chain-with-lobster-clasp/26083</t>
  </si>
  <si>
    <t>/jewelry-details/necklaces/738-carat-diamond-14k-white-gold-tennis-necklace/724834</t>
  </si>
  <si>
    <t>/jewelry-details/necklaces/bezel-set-diamond-pendant/25598</t>
  </si>
  <si>
    <t>/jewelry-details/necklaces/eleven-stone-050-carat-diamond-14k-white-gold-drop-pendant/652928</t>
  </si>
  <si>
    <t>/jewelry-details/necklaces/floating-halo-040-carat-diamond-14k-white-gold-pear-shaped-pendant/640377</t>
  </si>
  <si>
    <t>/jewelry-details/necklaces/heavy-sterling-silver-round-cable-chain-necklace/209352</t>
  </si>
  <si>
    <t>/jewelry-details/necklaces/magnetic-multi-layer-yellow-silver-ball-chain-18-necklace/725242</t>
  </si>
  <si>
    <t>/jewelry-details/necklaces/nine-stone-045-carat-diamond-drop-platinum-bar-pendant/724812</t>
  </si>
  <si>
    <t>/jewelry-details/necklaces/open-circle-110-carat-diamond-platinum-pendant/25611</t>
  </si>
  <si>
    <t>/jewelry-details/necklaces/platinum-channel-set-eternity-diamond-pendant/25647</t>
  </si>
  <si>
    <t>/jewelry-details/necklaces/platinum-icicle-pendant-6096-g-si/25624</t>
  </si>
  <si>
    <t>/jewelry-details/necklaces/sterling-silver-and-rose-gold-vermeil-3-tier-necklace/25750</t>
  </si>
  <si>
    <t>/jewelry-details/necklaces/the-iclyn-slighty-curved-seven-round-brillant-diamond-shared-prong-necklace/208742</t>
  </si>
  <si>
    <t>/jewelry-details/necklaces/three-to-one-hollow-14k-yellow-gold-figaro-chain-necklace/725005</t>
  </si>
  <si>
    <t>/jewelry-details/pearls/14kt-yellow-gold-9-10mm-aa-freshwater-pearl-twist-ring/26016</t>
  </si>
  <si>
    <t>/jewelry-details/pearls/entrancing-thirteen-65mm-pearl-14k-yellow-gold-bracelet/637342</t>
  </si>
  <si>
    <t>/jewelry-details/this-striking-enamel-bracelet-from-the-henderson-collection/25978</t>
  </si>
  <si>
    <t>/jewelry-details/wedding-bands-for-men/the-arrow/776707</t>
  </si>
  <si>
    <t>/jewelry-details/wedding-bands-for-men/the-goodman/757865</t>
  </si>
  <si>
    <t>/jewelry-details/wedding-rings/14k-rose-gold-diamond-bead-set-bead-set-womens-wedding-ring/26451</t>
  </si>
  <si>
    <t>/jewelry-details/wedding-rings/14kt-bezel-set-diamond-wedding-band-with-wave-milgrain-design/208030</t>
  </si>
  <si>
    <t>/jewelry-details/wedding-rings/14kt-white-gold-beautiful-shared-prong-curved-diamond-wedding-band/208024</t>
  </si>
  <si>
    <t>/jewelry-details/wedding-rings/14kt-white-gold-round-and-marquise-shape-diamond-wedding-band/208014</t>
  </si>
  <si>
    <t>/jewelry-details/wedding-rings/14kt-yellow-gold-6mm-high-polish-wedding-band-with-ribbed-edges/208332</t>
  </si>
  <si>
    <t>/jewelry-details/wedding-rings/18k-yellow-gold-euro-fit-wedding-band/25551</t>
  </si>
  <si>
    <t>/jewelry-details/wedding-rings/18k-yellow-gold-half-round-spacer-ring/652442</t>
  </si>
  <si>
    <t>/jewelry-details/wedding-rings/65mm-platinum-euro-style-mens-wedding-band/25544</t>
  </si>
  <si>
    <t>/jewelry-details/wedding-rings/6mm-platinum-milgrain-edged-mens-wedding-band/26679</t>
  </si>
  <si>
    <t>/jewelry-details/wedding-rings/7mm-slight-bevel-all-satin-platinum-wedding-band/623645</t>
  </si>
  <si>
    <t>/jewelry-details/wedding-rings/8mm-platinum-brushed-center-beveled-edge-mens-wedding-band/26687</t>
  </si>
  <si>
    <t>/jewelry-details/wedding-rings/8mm-platinum-satin-center-mens-wedding-band/26651</t>
  </si>
  <si>
    <t>/jewelry-details/wedding-rings/antique-geometric-shaped-platinum-diamond-wedding-band/26587</t>
  </si>
  <si>
    <t>/jewelry-details/wedding-rings/dainty-015-carat-diamond-18k-white-gold-micro-pave-wedding-band/637140</t>
  </si>
  <si>
    <t>/jewelry-details/wedding-rings/fine-satin-center-polished-edges-14k-yellow-gold-band/208292</t>
  </si>
  <si>
    <t>/jewelry-details/wedding-rings/five-stone-180-carat-diamond-platinum-wedding-band/26504</t>
  </si>
  <si>
    <t>/jewelry-details/wedding-rings/floating-085-carat-diamond-14k-white-gold-insert-band/724959</t>
  </si>
  <si>
    <t>/jewelry-details/wedding-rings/hammered-finish-mens-wedding-band/728384</t>
  </si>
  <si>
    <t>/jewelry-details/wedding-rings/hammered-satin-center-polished-channel-edge-14k-white-gold-mens-wedding-band/652830</t>
  </si>
  <si>
    <t>/jewelry-details/wedding-rings/hidden-diamond-squared-18k-yellow-gold-wedding-band/26471</t>
  </si>
  <si>
    <t>/jewelry-details/wedding-rings/multi-row-alternating-diamond-18k-white-gold-wide-fashion-ring/728380</t>
  </si>
  <si>
    <t>/jewelry-details/wedding-rings/plat-channel-set-square-cut-baguette-diamond-wedding-band/208256</t>
  </si>
  <si>
    <t>/jewelry-details/wedding-rings/platinum-bar-set-diamond-wedding-band/208122</t>
  </si>
  <si>
    <t>/jewelry-details/wedding-rings/platinum-bead-set-channel-style-wedding-band/26368</t>
  </si>
  <si>
    <t>/jewelry-details/wedding-rings/platinum-channel-set-princess-cut-antique-style-diamond-wedding-band/208056</t>
  </si>
  <si>
    <t>/jewelry-details/wedding-rings/platinum-channel-set-princess-diamond-wedding-band/26515</t>
  </si>
  <si>
    <t>/jewelry-details/wedding-rings/platinum-diamond-eternity-band-w-milgrain/26375</t>
  </si>
  <si>
    <t>/jewelry-details/wedding-rings/platinum-shared-prong-078-carat-diamond-wedding-band/724863</t>
  </si>
  <si>
    <t>/jewelry-details/wedding-rings/platinum-shared-prong-diamond-wedding-band/26565</t>
  </si>
  <si>
    <t>/jewelry-details/wedding-rings/platinum-shared-prong-eternity-diamond-wedding-band/26499</t>
  </si>
  <si>
    <t>/jewelry-details/wedding-rings/platinum-sophia-eternity-semi-bezel-set-diamond-wedding-band/26601</t>
  </si>
  <si>
    <t>/jewelry-details/wedding-rings/platinum-split-prong-diamond-wedding-band/26370</t>
  </si>
  <si>
    <t>/jewelry-details/wedding-rings/platinum-split-prong-diamond-wedding-band/26547</t>
  </si>
  <si>
    <t>/jewelry-details/wedding-rings/prong-set-curved-wedding-band/208250</t>
  </si>
  <si>
    <t>/jewelry-details/wedding-rings/satin-center-polish-beveled-edge-platinum-7mm-mens-wedding-band/652838</t>
  </si>
  <si>
    <t>/jewelry-details/wedding-rings/satin-center-polished-edge-platinum-6mm-comfort-fit-wedding-band/652858</t>
  </si>
  <si>
    <t>/jewelry-details/wedding-rings/stylish-swirl-finished-platinum-band/587781</t>
  </si>
  <si>
    <t>/jewelry-details/wedding-rings/thin-platinum-19mm-shared-prong-diamond-wedding-band-024cts/637366</t>
  </si>
  <si>
    <t>/jewelry?kw=aquamarine</t>
  </si>
  <si>
    <t>/jewelry?kw=diamond price calculate</t>
  </si>
  <si>
    <t>/jewelry?kw=Hidden halo</t>
  </si>
  <si>
    <t>/jewelry/brand/expressive</t>
  </si>
  <si>
    <t>/jewelry/brand/three-stone/engagement-rings</t>
  </si>
  <si>
    <t>/jewelry/earrings?price=0-199.99&amp;sortSpec=lowtohigh</t>
  </si>
  <si>
    <t>/jewelry/earrings/diamond-earrings?sortSpec=lowtohigh</t>
  </si>
  <si>
    <t>/jewelry/earrings/gemstone-earrings?pageNum=3</t>
  </si>
  <si>
    <t>/jewelry/engagement-rings/brand/solitaire</t>
  </si>
  <si>
    <t>/jewelry/necklaces?pageNum=5</t>
  </si>
  <si>
    <t>/jewelry/necklaces/chains/brand/spiga?materials=14KY</t>
  </si>
  <si>
    <t>/jewelry/necklaces/gemstone-necklaces-and-pendants</t>
  </si>
  <si>
    <t>/jewelry/wedding-rings/diamond-wedding-bands?pageNum=14</t>
  </si>
  <si>
    <t>/jewelry/wedding-rings/diamond-wedding-bands?pageNum=3</t>
  </si>
  <si>
    <t>/jewelry/wedding-rings/wedding-bands-for-men?materials=10KW</t>
  </si>
  <si>
    <t>/pages/2-col-test</t>
  </si>
  <si>
    <t>/pages/diamond-anniversary-rings-and-bands</t>
  </si>
  <si>
    <t>/pages/diamond-price-calculator?shape=&amp;carat=1.00&amp;color=&amp;clarity=&amp;lab=&amp;proportions=</t>
  </si>
  <si>
    <t>/pages/dpc-test-302</t>
  </si>
  <si>
    <t>/pages/thank-you-contact-us?whence=</t>
  </si>
  <si>
    <t>/privacy-policy</t>
  </si>
  <si>
    <t>/ringsettings-details/engagement-ring-settings/10k-white-gold-oval-halo-engagement-ring/645495</t>
  </si>
  <si>
    <t>/ringsettings-details/engagement-ring-settings/10k-white-gold-single-row-prong-engagement-ring/643421</t>
  </si>
  <si>
    <t>/ringsettings-details/engagement-ring-settings/10k-yellow-gold-halo-engagement-ring/647813</t>
  </si>
  <si>
    <t>/ringsettings-details/engagement-ring-settings/10k-yellow-gold-three-stone-round-engagement-ring/646127</t>
  </si>
  <si>
    <t>/ringsettings-details/engagement-ring-settings/18k-yellow-gold-round-halo-engagement-ring/648605</t>
  </si>
  <si>
    <t>/ringsettings-details/engagement-ring-settings/platinum-round-halo-engagement-ring/645199</t>
  </si>
  <si>
    <t>/ringsettings-details/engagement-rings/platinum-genuine-steven-kretchmer-tension-ring-setting/210430</t>
  </si>
  <si>
    <t>/ringsettings?settingType=Halo</t>
  </si>
  <si>
    <t>/Services/Diamond-Consignment</t>
  </si>
  <si>
    <t>/?pageNum=2</t>
  </si>
  <si>
    <t>/?pageNum=3</t>
  </si>
  <si>
    <t>/?showAll=true</t>
  </si>
  <si>
    <t>/blog-post/aquamarine-the-perfect-march-birthday-gift-or-19th-anniversary-keepsake</t>
  </si>
  <si>
    <t>/blog-post/congratulations-ethan--julia</t>
  </si>
  <si>
    <t>/blog-post/congratulations-travis-and-annalise</t>
  </si>
  <si>
    <t>/blog-post/custom-jewelry-the-intersection-of-inspiration--fine-craftsmanship</t>
  </si>
  <si>
    <t>/blog-post/how-is-an-engagement-ring-made</t>
  </si>
  <si>
    <t>/blog-post/no-supply-chain-worries-at-washington-diamond</t>
  </si>
  <si>
    <t>/blog/rapper-gucci-mane-shows-off-his-three-stone-diamond-man-gagement-ring</t>
  </si>
  <si>
    <t>/brand/petite-collection</t>
  </si>
  <si>
    <t>/checkout-thankyou</t>
  </si>
  <si>
    <t>/diamonds-details?id=108817546</t>
  </si>
  <si>
    <t>/diamonds-details?id=109028433</t>
  </si>
  <si>
    <t>/diamonds-details?id=115539617</t>
  </si>
  <si>
    <t>/diamonds-details?id=124487375</t>
  </si>
  <si>
    <t>/diamonds-details?id=128335787</t>
  </si>
  <si>
    <t>/diamonds-details?id=129195365</t>
  </si>
  <si>
    <t>/diamonds-details?id=132722951</t>
  </si>
  <si>
    <t>/diamonds-details?id=135380930</t>
  </si>
  <si>
    <t>/diamonds-details?id=138606170</t>
  </si>
  <si>
    <t>/diamonds-details?id=139472363</t>
  </si>
  <si>
    <t>/diamonds-details?id=142425801</t>
  </si>
  <si>
    <t>/diamonds-details?id=143433961</t>
  </si>
  <si>
    <t>/diamonds-details?id=145320808</t>
  </si>
  <si>
    <t>/diamonds-details?id=145960994</t>
  </si>
  <si>
    <t>/diamonds-details?id=145961319</t>
  </si>
  <si>
    <t>/diamonds-details?id=146174803</t>
  </si>
  <si>
    <t>/diamonds-details?id=146271315</t>
  </si>
  <si>
    <t>/diamonds-details?id=146296323</t>
  </si>
  <si>
    <t>/diamonds-details?id=147617991</t>
  </si>
  <si>
    <t>/diamonds-details?id=148943299</t>
  </si>
  <si>
    <t>/diamonds-details?id=150124040</t>
  </si>
  <si>
    <t>/diamonds-details?id=150180545</t>
  </si>
  <si>
    <t>/diamonds-details?id=150212212</t>
  </si>
  <si>
    <t>/diamonds-details?id=151586209</t>
  </si>
  <si>
    <t>/diamonds-details?id=152306684</t>
  </si>
  <si>
    <t>/diamonds-details?id=152582749</t>
  </si>
  <si>
    <t>/diamonds-details?id=32749289</t>
  </si>
  <si>
    <t>/diamonds-details?id=53901626</t>
  </si>
  <si>
    <t>/diamonds-details?id=61703235</t>
  </si>
  <si>
    <t>/diamonds-details?id=61703341</t>
  </si>
  <si>
    <t>/diamonds-details?id=78864059</t>
  </si>
  <si>
    <t>/diamonds-details?id=82720105</t>
  </si>
  <si>
    <t>/diamonds?carat=0.33-6&amp;diamondshape=round&amp;color=h-f&amp;clarity=vvs2-if</t>
  </si>
  <si>
    <t>/diamonds?carat=0.7-6&amp;color=f-f&amp;cut=excellent-any&amp;clarity=si1-if</t>
  </si>
  <si>
    <t>/diamonds?carat=0.9-1.2&amp;color=g-f&amp;clarity=vvs2-if&amp;cut=good-any&amp;diamondshape=emerald,princess,round</t>
  </si>
  <si>
    <t>/diamonds?carat=2-2.1&amp;color=f-f&amp;clarity=vvs1-vvs2&amp;cut=excellent-any</t>
  </si>
  <si>
    <t>/diamonds?diamondshape=emerald,princess,round&amp;carat=0.9-1.2&amp;color=g-f&amp;clarity=vvs2-if&amp;cut=good-any</t>
  </si>
  <si>
    <t>/diamonds?diamondshape=princess,emerald,asscher,radiant,oval,pear,cushion&amp;lab=Forevermark&amp;labGrown=0&amp;carat=0.97-2&amp;cut=excellent-any&amp;clarity=vs2-vvs2&amp;color=h-f</t>
  </si>
  <si>
    <t>/diamonds?diamondshape=princess&amp;carat=1-2.5&amp;cut=verygood-any&amp;color=f-f&amp;clarity=vvs1-if</t>
  </si>
  <si>
    <t>/diamonds?diamondshape=radiant&amp;carat=0.1-6</t>
  </si>
  <si>
    <t>/diamonds?diamondshape=round,princess,emerald,asscher,cushion,oval,pear,radiant&amp;carat=0.1-6</t>
  </si>
  <si>
    <t>/diamonds?diamondshape=round&amp;carat=0.1-6&amp;color=f-f&amp;cut=any-any&amp;clarity=if-if</t>
  </si>
  <si>
    <t>/diamonds?diamondshape=round&amp;carat=0.1-6&amp;cut=any-good&amp;clarity=vs1-if&amp;color=any-h</t>
  </si>
  <si>
    <t>/diamonds?diamondshape=round&amp;carat=0.2-4&amp;price=1000-3000&amp;cut=verygood-any&amp;color=k-h&amp;clarity=any-vs1</t>
  </si>
  <si>
    <t>/diamonds?diamondshape=round&amp;carat=0.33-6&amp;color=h-f&amp;clarity=vvs2-if</t>
  </si>
  <si>
    <t>/diamonds?diamondshape=round&amp;carat=0.4-6&amp;cut=excellent-any&amp;color=any-h&amp;clarity=vs1-if</t>
  </si>
  <si>
    <t>500 redirects</t>
  </si>
  <si>
    <t>/diamonds?diamondshape=round&amp;carat=0.7-1&amp;cut=any-verygood&amp;color=any-i&amp;clarity=any-vs1</t>
  </si>
  <si>
    <t>/diamonds?diamondshape=round&amp;carat=1.4-1.9&amp;color=h-h&amp;cut=verygood-any&amp;clarity=vs1-if</t>
  </si>
  <si>
    <t>/diamonds?diamondshape=round&amp;carat=2.3-2.8&amp;cut=verygood-any&amp;color=any-h&amp;clarity=any-vs2</t>
  </si>
  <si>
    <t>/diamonds?diamondshape=round&amp;carat=3-3.2&amp;color=j-j&amp;cut=excellent-any&amp;clarity=vs1-vs1</t>
  </si>
  <si>
    <t>/diamonds?diamondshape=round&amp;lab=Forevermark&amp;labGrown=0</t>
  </si>
  <si>
    <t>/diamonds?diamondshape=round&amp;lab=Forevermark&amp;labGrown=0&amp;carat=0.4-6&amp;color=any-g</t>
  </si>
  <si>
    <t>/diamonds?diamondshape=round&amp;lab=Forevermark&amp;labGrown=0&amp;carat=1.7-4&amp;color=g-f&amp;clarity=any-if&amp;cut=any-any&amp;price=0-27000</t>
  </si>
  <si>
    <t>/diamonds?diamondshape=round&amp;lab=Forevermark&amp;labGrown=0&amp;carat=1.7-6</t>
  </si>
  <si>
    <t>/diamonds?diamondshape=round&amp;lab=Forevermark&amp;labGrown=0&amp;price=0-3000&amp;carat=0.1-3&amp;cut=any-verygood</t>
  </si>
  <si>
    <t>/diamonds/princess-cut</t>
  </si>
  <si>
    <t>/education-anniversary-guide</t>
  </si>
  <si>
    <t>/education-gemstone-care</t>
  </si>
  <si>
    <t>/education-jewelry-care</t>
  </si>
  <si>
    <t>/education-metals</t>
  </si>
  <si>
    <t>/events</t>
  </si>
  <si>
    <t>/forgot-password</t>
  </si>
  <si>
    <t>/jewelry-details/18k-white-gold-aurora-expressive-bypass-engagement-mounting/209932</t>
  </si>
  <si>
    <t>/jewelry-details/anniversary-rings/18kt-white-rose-and-yellow-gold-interlaced-design-diamond-eternity-band/652528</t>
  </si>
  <si>
    <t>/jewelry-details/anniversary-rings/beaded-025-carat-diamond-18k-white-gold-bezel-set-ring/652548</t>
  </si>
  <si>
    <t>/jewelry-details/anniversary-rings/favorite-153-carat-diamond-14k-white-gold-two-row-band/652562</t>
  </si>
  <si>
    <t>/jewelry-details/anniversary-rings/five-section-107-carat-diamond-14k-white-gold-wedding-band/652556</t>
  </si>
  <si>
    <t>/jewelry-details/anniversary-rings/platinum-floating-diamond-wedding-band/652576</t>
  </si>
  <si>
    <t>/jewelry-details/anniversary-rings/seascape-wavy-037-carat-diamond-ring-14k-rose-gold-wide-right-hand-ring/652560</t>
  </si>
  <si>
    <t>/jewelry-details/anniversary-rings/three-row-pave-040-carat-diamond-14k-yellow-gold-wedding-band/652623</t>
  </si>
  <si>
    <t>/jewelry-details/bracelets/14k-white-gold-curved-bangle-bracelet/25956</t>
  </si>
  <si>
    <t>/jewelry-details/bracelets/14k-white-gold-diamond-bangle-bracelet/25952</t>
  </si>
  <si>
    <t>/jewelry-details/bracelets/14k-white-gold-diamond-bangle-bracelet/623669</t>
  </si>
  <si>
    <t>/jewelry-details/bracelets/14k-yellow-gold-diamond-bangle-bracelet/25950</t>
  </si>
  <si>
    <t>/jewelry-details/bracelets/14kt-curved-design-yellow-gold-diamond-bracelet/209240</t>
  </si>
  <si>
    <t>/jewelry-details/bracelets/14kt-white-gold-diamond-tennis-bracelet-4cts/209304</t>
  </si>
  <si>
    <t>/jewelry-details/bracelets/480-carat-diamond-14k-yellow-gold-tennis-bracelet/724913</t>
  </si>
  <si>
    <t>/jewelry-details/bracelets/522-carat-princess-cut-diamond-tennis-bracelet/209274</t>
  </si>
  <si>
    <t>/jewelry-details/bracelets/650-carat-princess-cut-diamond-tennis-bracelet/209252</t>
  </si>
  <si>
    <t>/jewelry-details/bracelets/classic-sapphire-and-diamond-tennis-bracelet/25971</t>
  </si>
  <si>
    <t>/jewelry-details/bracelets/classic-vivid-blue-sapphire-and-diamond-tennis-bracelet/637170</t>
  </si>
  <si>
    <t>/jewelry-details/bracelets/crossing-double-ended-diamond-charm-18k-yellow-white-gold-cuff-bracelet/728324</t>
  </si>
  <si>
    <t>/jewelry-details/bracelets/diamond-bracelet-65-rbc-200cts-14kw/637289</t>
  </si>
  <si>
    <t>/jewelry-details/bracelets/diamond-tennis-bracelet/25965</t>
  </si>
  <si>
    <t>/jewelry-details/bracelets/magnetic-multi-layer-yellow-silver-ball-chain-7-34-bracelet/725292</t>
  </si>
  <si>
    <t>/jewelry-details/bracelets/magnifying-500-carat-diamond-18k-white-gold-tennis-bracelet/728408</t>
  </si>
  <si>
    <t>/jewelry-details/bracelets/multi-color-sapphire-bracelet/652792</t>
  </si>
  <si>
    <t>/jewelry-details/bracelets/oval-581-carat-sapphire-158-carat-diamond-halo-18k-white-gold-bracelet/637340</t>
  </si>
  <si>
    <t>/jewelry-details/bracelets/textured-paperclip-link-bracelet/725290</t>
  </si>
  <si>
    <t>/jewelry-details/bracelets/three-strand-7-34-rodondo-sterling-silver-bracelet/725276</t>
  </si>
  <si>
    <t>/jewelry-details/charms/ballet-slipper/653739</t>
  </si>
  <si>
    <t>/jewelry-details/charms/feather/727069</t>
  </si>
  <si>
    <t>/jewelry-details/charms/female-soccer/779757</t>
  </si>
  <si>
    <t>/jewelry-details/charms/nurse-practitioner/656609</t>
  </si>
  <si>
    <t>/jewelry-details/charms/oval-disc/725917</t>
  </si>
  <si>
    <t>/jewelry-details/charms/pilots-wings/658851</t>
  </si>
  <si>
    <t>/jewelry-details/charms/snowmobile/728311</t>
  </si>
  <si>
    <t>/jewelry-details/charms/touchtone-phone/727695</t>
  </si>
  <si>
    <t>/jewelry-details/earrings/025-carat-diamond-14k-white-gold-four-prong-basket-stud-earrings/724790</t>
  </si>
  <si>
    <t>/jewelry-details/earrings/081-carat-diamond-18k-white-gold-stud-earrings/728329</t>
  </si>
  <si>
    <t>/jewelry-details/earrings/102-carat-diamond-four-prong-basket-14k-white-gold-stud-earrings/724905</t>
  </si>
  <si>
    <t>/jewelry-details/earrings/125ct-round-diamond-platinum-stud-earrings-h-isi1/777828</t>
  </si>
  <si>
    <t>/jewelry-details/earrings/14k-yellow-gold-diamond-huggies-earrings/26875</t>
  </si>
  <si>
    <t>/jewelry-details/earrings/14k-yellow-white-gold-cascading-circle-earrings-earrings/26893</t>
  </si>
  <si>
    <t>/jewelry-details/earrings/14kwg-pear-shape-aquamarine-diamond-earrings/637279</t>
  </si>
  <si>
    <t>/jewelry-details/earrings/14ky-4mm-x-15mm-round-hoop-earrings/26884</t>
  </si>
  <si>
    <t>/jewelry-details/earrings/18k-white-gold-emerald-and-diamond-earrings/637408</t>
  </si>
  <si>
    <t>/jewelry-details/earrings/18kt-white-gold-circular-diamond-earring-jackets-28-diamonds/25791</t>
  </si>
  <si>
    <t>/jewelry-details/earrings/18kt-white-gold-round-bright-blue-aquamarine-and-diamond-earrings/637124</t>
  </si>
  <si>
    <t>/jewelry-details/earrings/18kw-double-row-diamond-hoop-earrings/25803</t>
  </si>
  <si>
    <t>/jewelry-details/earrings/6-section-230-carat-baguette-diamond-14-karat-white-gold-drop-earrings/637269</t>
  </si>
  <si>
    <t>/jewelry-details/earrings/blue-sapphire-diamond-inside-out-earrings/649094</t>
  </si>
  <si>
    <t>/jewelry-details/earrings/bold-127-carat-sapphire-045-carat-diamond-dangle-drop-earrings-18-karat-white-gold/637412</t>
  </si>
  <si>
    <t>/jewelry-details/earrings/channel-set-diamond-platinum-beaded-earring-jacket/208972</t>
  </si>
  <si>
    <t>/jewelry-details/earrings/cluster-132-carat-diamond-18k-white-gold-earrings/47165</t>
  </si>
  <si>
    <t>/jewelry-details/earrings/crystal-cut-14k-yellow-gold-3x35mm-hoop-earrings/724991</t>
  </si>
  <si>
    <t>/jewelry-details/earrings/curved-072-carat-diamond-inside-out-hoop-14k-white-gold-earrings/724784</t>
  </si>
  <si>
    <t>/jewelry-details/earrings/cushion-cut-135-carat-sapphire-059-carat-diamond-halo-18k-white-gold-earrings/724858</t>
  </si>
  <si>
    <t>/jewelry-details/earrings/diamond-hoop-earrings/208980</t>
  </si>
  <si>
    <t>/jewelry-details/earrings/diamond-stud-earrings-040cttw-i-j-si/25818</t>
  </si>
  <si>
    <t>/jewelry-details/earrings/diamond-stud-earrings-140cttw-i-j-si/25832</t>
  </si>
  <si>
    <t>/jewelry-details/earrings/double-tassel-087-carat-diamond-marquise-design-14k-white-gold-drop-earrings/637267</t>
  </si>
  <si>
    <t>/jewelry-details/earrings/formal-082-carat-sapphire-022-carat-diamond-18k-white-gold-drop-earrings/25839</t>
  </si>
  <si>
    <t>/jewelry-details/earrings/glowing-305-carat-pear-shaped-aquamarine-066-carat-diamond-18k-white-gold-drop-halo-earrings/25850</t>
  </si>
  <si>
    <t>/jewelry-details/earrings/graduated-100-carat-diamond-14k-white-gold-half-bezel-hoop-earrings/652756</t>
  </si>
  <si>
    <t>/jewelry-details/earrings/hanging-066-carat-diamond-sapphire-halo-14k-white-gold-earrings/724796</t>
  </si>
  <si>
    <t>/jewelry-details/earrings/jaded-oval-emerald-diamond-halo-14k-white-gold-earrings/725258</t>
  </si>
  <si>
    <t>/jewelry-details/earrings/light-blue-sapphire-earrings/25863</t>
  </si>
  <si>
    <t>/jewelry-details/earrings/raindrop-emerald-diamond-open-halo-14k-yellow-gold-drop-earrings/725262</t>
  </si>
  <si>
    <t>/jewelry-details/earrings/removable-dangle-diamond-earrings/25799</t>
  </si>
  <si>
    <t>/jewelry-details/earrings/rose-gold-plated-and-sterling-silver-triple-hoop-earrings/25909</t>
  </si>
  <si>
    <t>/jewelry-details/earrings/sapphire-and-diamond-clip-back-earrings/25873</t>
  </si>
  <si>
    <t>/jewelry-details/earrings/shared-prong-055-carat-diamond-18k-yellow-gold-hoop-earrings/724850</t>
  </si>
  <si>
    <t>/jewelry-details/earrings/shimmering-026-carat-diamond-platinum-earring-jackets/25785</t>
  </si>
  <si>
    <t>/jewelry-details/earrings/starry-night-089-carat-diamond-round-satin-finish-18k-yellow-gold-earrings/724903</t>
  </si>
  <si>
    <t>/jewelry-details/earrings/stylish-200-carat-diamond-14k-white-gold-shared-prong-huggie-earrings/652752</t>
  </si>
  <si>
    <t>/jewelry-details/earrings/teardrop-115-carat-diamond-14k-white-gold-pave-drop-earrings/640460</t>
  </si>
  <si>
    <t>/jewelry-details/earrings/two-tone-040-carat-diamond-hoop-14k-yellow-white-gold-earrings/724782</t>
  </si>
  <si>
    <t>/jewelry-details/earrings/vine-huggie-diamond-earrings/25789</t>
  </si>
  <si>
    <t>/jewelry-details/earrings/white-gold-two-row-diamond-hoop-earrings/25804</t>
  </si>
  <si>
    <t>/jewelry-details/engagement-rings/10032-plat-fg-vs-milgrain/210324</t>
  </si>
  <si>
    <t>/jewelry-details/engagement-rings/14k-white-gold-martin-flyer-pear-shape-diamond-engagement-ring/47148</t>
  </si>
  <si>
    <t>/jewelry-details/engagement-rings/16035ct-fg-vs-plat-prin-u-v-head/210102</t>
  </si>
  <si>
    <t>/jewelry-details/engagement-rings/16074cts-f-g-si1-plat/209830</t>
  </si>
  <si>
    <t>/jewelry-details/engagement-rings/18k-rose-gold-prong-set-diamond-single-row-engagement-ring-setting/209916</t>
  </si>
  <si>
    <t>/jewelry-details/engagement-rings/18k-rose-gold-round-diamond-halo-complete-engagement-ring/26340</t>
  </si>
  <si>
    <t>/jewelry-details/engagement-rings/18k-white-gold-expressive-halo-diamond-engagement-setting/209926</t>
  </si>
  <si>
    <t>/jewelry-details/engagement-rings/18k-yellow-gold-semi-halo-antique-prong-engagement-ring-setting/26921</t>
  </si>
  <si>
    <t>/jewelry-details/engagement-rings/18k-yellow-gold-three-stone-diamond-engagement-setting/26917</t>
  </si>
  <si>
    <t>/jewelry-details/engagement-rings/18kt-rose-white-gold-diamond-hera-bridal-antique-engagement-ring-setting/728701</t>
  </si>
  <si>
    <t>/jewelry-details/engagement-rings/18kt-yellow-diamond-ring-34d39ct/210412</t>
  </si>
  <si>
    <t>/jewelry-details/engagement-rings/18kt-yellow-gold-prong-set-diamond-engagement-ring-setting/26233</t>
  </si>
  <si>
    <t>/jewelry-details/engagement-rings/18kt-yellow-gold-washington-diamond-collection-engagement-ring-setting-with-platinum-head/26254</t>
  </si>
  <si>
    <t>/jewelry-details/engagement-rings/18ky-par-halo-lyria66ro-d39-gh-vs/209918</t>
  </si>
  <si>
    <t>/jewelry-details/engagement-rings/18ky-rose-cut-diamond-halo-engagement-ring/587767</t>
  </si>
  <si>
    <t>/jewelry-details/engagement-rings/190-carat-solitaire/637213</t>
  </si>
  <si>
    <t>/jewelry-details/engagement-rings/airline-cathedral-gallery-platinum-engagement-mounting/210474</t>
  </si>
  <si>
    <t>/jewelry-details/engagement-rings/antique-style-038-carat-baguette-round-diamond-18k-white-gold-halo-engagement-setting/649692</t>
  </si>
  <si>
    <t>/jewelry-details/engagement-rings/armadani-18kt-white-gold-straight-line-diamond-engagement-mounting/47170</t>
  </si>
  <si>
    <t>/jewelry-details/engagement-rings/azure-aurora-collectionplatinum-halo-engagement-ring/623721</t>
  </si>
  <si>
    <t>/jewelry-details/engagement-rings/cathedral-style-18k-yellow-gold-platinum-four-prong-engagement-ring-mounting/725069</t>
  </si>
  <si>
    <t>/jewelry-details/engagement-rings/channel-style-engagement-mounting/209554</t>
  </si>
  <si>
    <t>/jewelry-details/engagement-rings/classic-gold-half-rounded-solitaire-setting/210448</t>
  </si>
  <si>
    <t>/jewelry-details/engagement-rings/classic-tapered-style-platinum-pear-shape-round-diamonds-engagement-ring-mounting/636310</t>
  </si>
  <si>
    <t>/jewelry-details/engagement-rings/crossover-style-diamond-engagement-mounting/209734</t>
  </si>
  <si>
    <t>/jewelry-details/engagement-rings/double-halo-style-diamond-engagement-mounting/210244</t>
  </si>
  <si>
    <t>/jewelry-details/engagement-rings/empress-092-carat-diamond-platinum-four-prong-halo-engagement-setting/649822</t>
  </si>
  <si>
    <t>/jewelry-details/engagement-rings/exceptional-washington-diamond-handmade-platinum-18ky-bypass-beauty/207726</t>
  </si>
  <si>
    <t>/jewelry-details/engagement-rings/five-stone-two-tone-engagement-mounting/210108</t>
  </si>
  <si>
    <t>/jewelry-details/engagement-rings/flat-shank-woven-head-platinum-engagement-ring-setting/26731</t>
  </si>
  <si>
    <t>/jewelry-details/engagement-rings/floating-090-carat-diamond-14k-white-gold-12-eternity-engagement-ring-setting/649810</t>
  </si>
  <si>
    <t>/jewelry-details/engagement-rings/francesca-055-carat-oval-cut-halo-platinum-engagement-setting/210250</t>
  </si>
  <si>
    <t>/jewelry-details/engagement-rings/glorious-round-078-carat-diamond-halo-18k-white-gold-cathedral-style-engagement-ring-setting/725187</t>
  </si>
  <si>
    <t>/jewelry-details/engagement-rings/halo-032-carat-diamond-platinum-engagement-setting/649750</t>
  </si>
  <si>
    <t>/jewelry-details/engagement-rings/hidden-halo-018-carat-diamond-18k-white-gold-cathedral-style-oval-engagement-ring-setting/649680</t>
  </si>
  <si>
    <t>/jewelry-details/engagement-rings/jolie-catherdral-platinum-shared-prong-diamond-engagement-ring-setting/26259</t>
  </si>
  <si>
    <t>/jewelry-details/engagement-rings/luna-hidden-halo-039-carat-diamond-platinum-engagement-setting/652970</t>
  </si>
  <si>
    <t>/jewelry-details/engagement-rings/mirabella-split-shank-oval-diamond-halo-platinum-decorous-engagement-ring-setting/725195</t>
  </si>
  <si>
    <t>/jewelry-details/engagement-rings/modern-037-carat-diamond-platinum-oval-halo-engagement-setting/649820</t>
  </si>
  <si>
    <t>/jewelry-details/engagement-rings/olivia-063-carat-princess-cut-channel-set-diamond-platinum-engagement-setting/210058</t>
  </si>
  <si>
    <t>/jewelry-details/engagement-rings/plat-3-prong-pear-shape-eng-mtg-18rbc13cts-tw/210276</t>
  </si>
  <si>
    <t>/jewelry-details/engagement-rings/plat-3-stn-mntg-2027-rbc-f-g-vs/210050</t>
  </si>
  <si>
    <t>/jewelry-details/engagement-rings/plat-4-prg-eng-mtg/210458</t>
  </si>
  <si>
    <t>/jewelry-details/engagement-rings/plat-98rbc82ct-gh-vs-hemera-split-halo/209742</t>
  </si>
  <si>
    <t>/jewelry-details/engagement-rings/plat-dia-eng-mtg-18-round-diamonds-15cts-tw/210264</t>
  </si>
  <si>
    <t>/jewelry-details/engagement-rings/plat-dia-eng-mtg-62-rbc55cts-tw/209558</t>
  </si>
  <si>
    <t>/jewelry-details/engagement-rings/plat-dias-eng-mtg-set-w-18-rbc-dias-019cts-tw/209730</t>
  </si>
  <si>
    <t>/jewelry-details/engagement-rings/plat-eng-mtg-rect-top-34rbc28cts-tw/210256</t>
  </si>
  <si>
    <t>/jewelry-details/engagement-rings/plat-eng-mtg-split-shank-4prg-40rbc29cts/209620</t>
  </si>
  <si>
    <t>/jewelry-details/engagement-rings/plat-knife-edge-dia-eng-mtg-30rbc40cttw/209576</t>
  </si>
  <si>
    <t>/jewelry-details/engagement-rings/platinum-bar-set-diamond-engagement-mounting/209992</t>
  </si>
  <si>
    <t>/jewelry-details/engagement-rings/platinum-bria-elegant-diamond-engagement-ring-mounting/26267</t>
  </si>
  <si>
    <t>/jewelry-details/engagement-rings/platinum-bypass-solitaire-engagement-ring-setting/26742</t>
  </si>
  <si>
    <t>/jewelry-details/engagement-rings/platinum-engagement-setting-w79cts-trapezoid-side-diamonds/209702</t>
  </si>
  <si>
    <t>/jewelry-details/engagement-rings/platinum-four-prong-bead-set-diamond-engagement-ring-setting/26190</t>
  </si>
  <si>
    <t>/jewelry-details/engagement-rings/platinum-halo-style-semi-mount-ring-45cts/210380</t>
  </si>
  <si>
    <t>/jewelry-details/engagement-rings/platinum-milgrain-edge-style-engagement-ring-setting/26252</t>
  </si>
  <si>
    <t>/jewelry-details/engagement-rings/platinum-prong-set-diamond-micro-pave-single-row-engagement-setting/26916</t>
  </si>
  <si>
    <t>/jewelry-details/engagement-rings/platinum-trellis-style-oval-blue-sapphire-setting/210046</t>
  </si>
  <si>
    <t>/jewelry-details/engagement-rings/platinum-twist-diamond-engagement-ring-setting/26199</t>
  </si>
  <si>
    <t>/jewelry-details/engagement-rings/princess-and-baguette-channel-set-mounting/209998</t>
  </si>
  <si>
    <t>/jewelry-details/engagement-rings/selena-034-carat-diamond-halo-platinum-engagement-mounting/209590</t>
  </si>
  <si>
    <t>/jewelry-details/engagement-rings/signature-collection-jolie-sleek-and-thin-diamond-engagement-ring-setting/26284</t>
  </si>
  <si>
    <t>/jewelry-details/engagement-rings/split-shank-diamond-and-sapphire-ring/210228</t>
  </si>
  <si>
    <t>/jewelry-details/engagement-rings/the-avaline-double-row-platinum-diamond-engagement-setting/26226</t>
  </si>
  <si>
    <t>/jewelry-details/engagement-rings/the-halle-classic-three-stone-oval-platinum-setting/210396</t>
  </si>
  <si>
    <t>/jewelry-details/engagement-rings/thin-shank-021-carat-diamond-halo-18k-white-gold-engagement-ring/725191</t>
  </si>
  <si>
    <t>/jewelry-details/engagement-rings/this-beautiful-rose-cut-diamond-engagement-ring-is-made-in-18k-rose-gold/47179</t>
  </si>
  <si>
    <t>/jewelry-details/engagement-rings/three-stone-050-carat-pear-shaped-diamond-platinum-engagement-ring-mounting/728703</t>
  </si>
  <si>
    <t>/jewelry-details/engagement-rings/three-stone-102-carat-emerald-cut-diamond-platinum-engagement-ring-mounting/652594</t>
  </si>
  <si>
    <t>/jewelry-details/engagement-rings/three-stone-138-carat-round-pear-diamond-platinum-engagement-ring/26837</t>
  </si>
  <si>
    <t>/jewelry-details/engagement-rings/three-stone-225-carat-pear-shaped-diamond-platinum-engagement-ring/724978</t>
  </si>
  <si>
    <t>/jewelry-details/engagement-rings/three-stone-basket-style-diamond-engagement-ring-is-made-in-platinum/207660</t>
  </si>
  <si>
    <t>/jewelry-details/engagement-rings/uptown-sophisticated-multiple-row-platinum-diamond-engagement-ring-setting/26192</t>
  </si>
  <si>
    <t>/jewelry-details/engagement-rings/victoria-intricate-18ky-halo-diamond-engagement-ring-setting-part-of-the-lyria-collection/26241</t>
  </si>
  <si>
    <t>/jewelry-details/engagement-rings/vintage-micro-pave-platinum-halo-diamond-engagement-ring-setting/47181</t>
  </si>
  <si>
    <t>/jewelry-details/engagement-rings/washington-diamond-classic-platinum-solitaire-engagement-ring-setting/26739</t>
  </si>
  <si>
    <t>/jewelry-details/gemstone-rings/18k-white-gold-emerald-and-diamond-band/636259</t>
  </si>
  <si>
    <t>/jewelry-details/gemstone-rings/18kw-sapphire-and-diamond-cocktail-ring/26286</t>
  </si>
  <si>
    <t>/jewelry-details/gemstone-rings/azura-halo-style-tanzanite-and-diamond-ring/636421</t>
  </si>
  <si>
    <t>/jewelry-details/gemstone-rings/decorous-151-carat-oval-sapphire-047-carat-diamond-18k-white-gold-ring/724818</t>
  </si>
  <si>
    <t>/jewelry-details/gemstone-rings/deep-blue-184-carat-oval-sapphire-091-carat-diamond-18k-white-gold-halo-ring/649100</t>
  </si>
  <si>
    <t>/jewelry-details/gemstone-rings/glamorous-sapphire-and-diamond-ring/637132</t>
  </si>
  <si>
    <t>/jewelry-details/gemstone-rings/gorgeous-pink-sapphire-and-diamond-halo-ring/26321</t>
  </si>
  <si>
    <t>/jewelry-details/gemstone-rings/halo-style-diamond-and-sapphire-ring/26771</t>
  </si>
  <si>
    <t>/jewelry-details/gemstone-rings/illuminated-three-stone-sapphire-and-pear-shape-diamond-platinum-ring/728508</t>
  </si>
  <si>
    <t>/jewelry-details/gemstone-rings/livia-pave-set-sapphire-and-diamond-cocktail-ring/26287</t>
  </si>
  <si>
    <t>/jewelry-details/gemstone-rings/marvelous-ruby-and-diamond-ring/26308</t>
  </si>
  <si>
    <t>/jewelry-details/gemstone-rings/morganite-and-diamond-halo-ring-in-18k-rose-gold/26307</t>
  </si>
  <si>
    <t>/jewelry-details/gemstone-rings/the-aria-aquamarine-and-halo-diamond-ring/26292</t>
  </si>
  <si>
    <t>/jewelry-details/gemstone-rings/the-caris-pink-tourmaline-and-diamond-halo-ring/26776</t>
  </si>
  <si>
    <t>/jewelry-details/gemstone-rings/the-hazel-peridot-halo-diamond-ring/26299</t>
  </si>
  <si>
    <t>/jewelry-details/gemstone-rings/vivid-three-stone-emerald-diamond-emerald-cut-platinum-ring/728845</t>
  </si>
  <si>
    <t>/jewelry-details/gemstone-rings/woven-ruby-diamond-18k-yellow-gold-ring/728843</t>
  </si>
  <si>
    <t>/jewelry-details/necklaces/14k-white-gold-pear-shaped-citrine-halo-diamond-pendant/25679</t>
  </si>
  <si>
    <t>/jewelry-details/necklaces/14kt-799cts-tw-riviera-graduated-design-diamond-necklace-set-with-187-round-diamonds/637082</t>
  </si>
  <si>
    <t>/jewelry-details/necklaces/16-inch-14-karat-white-gold-round-cable-chain/26082</t>
  </si>
  <si>
    <t>/jewelry-details/necklaces/18kt-white-gold-5-station-diamond-necklace/587855</t>
  </si>
  <si>
    <t>/jewelry-details/necklaces/18kw-pear-shape-dia-drop-pendant/636429</t>
  </si>
  <si>
    <t>/jewelry-details/necklaces/36cts-tear-drop-diamond-style-hoop-pendant/585110</t>
  </si>
  <si>
    <t>/jewelry-details/necklaces/bezel-set-diamond-pendant/208754</t>
  </si>
  <si>
    <t>/jewelry-details/necklaces/bezel-set-nine-stone-smile-necklace/637076</t>
  </si>
  <si>
    <t>/jewelry-details/necklaces/cable-14kw-100mm-30-gauge-24in/26130</t>
  </si>
  <si>
    <t>/jewelry-details/necklaces/classic-033-carat-diamond-18k-white-gold-bezel-set-pendant/26867</t>
  </si>
  <si>
    <t>/jewelry-details/necklaces/dancing-bezel-set-diamonds-14k-white-gold-necklace/652934</t>
  </si>
  <si>
    <t>/jewelry-details/necklaces/embellished-diamond-pave-14k-yellow-white-gold-paperclip-pendant/725218</t>
  </si>
  <si>
    <t>/jewelry-details/necklaces/flat-air-solid-14k-yellow-gold-rolo-chain/724999</t>
  </si>
  <si>
    <t>/jewelry-details/necklaces/flex-18-herringbone-14k-yellow-gold-chain-necklace/725157</t>
  </si>
  <si>
    <t>/jewelry-details/necklaces/gleaming-067-carat-pink-morganite-and-030-carat-diamond-halo-14k-rose-gold-pendant/637222</t>
  </si>
  <si>
    <t>/jewelry-details/necklaces/halo-style-diamond-and-emerald-pendant/25662</t>
  </si>
  <si>
    <t>/jewelry-details/necklaces/harmony-068-carat-diamond-halo-14k-white-gold-pendant/640434</t>
  </si>
  <si>
    <t>/jewelry-details/necklaces/large-platinum-four-leaf-clover-pendant/25762</t>
  </si>
  <si>
    <t>/jewelry-details/necklaces/lavish-two-stone-057-carat-ruby-021-carat-diamond-18k-white-gold-pendant/641782</t>
  </si>
  <si>
    <t>/jewelry-details/necklaces/light-hollow-bevelled-mariner-14k-yellow-gold-chain-necklace/725017</t>
  </si>
  <si>
    <t>/jewelry-details/necklaces/magnetic-multi-layer-yellow-silver-ball-chain-36-necklace/725244</t>
  </si>
  <si>
    <t>/jewelry-details/necklaces/oval-and-pear-shaped-russalite-and-diamond-drop-necklace/637086</t>
  </si>
  <si>
    <t>/jewelry-details/necklaces/oval-bright-yellow-sapphire-and-diamond-necklace-18kt-white-gold/208894</t>
  </si>
  <si>
    <t>/jewelry-details/necklaces/pear-shape-diamond-and-sapphire-pendant/25671</t>
  </si>
  <si>
    <t>/jewelry-details/necklaces/peridot-and-diamond-halo-style-pendant/25675</t>
  </si>
  <si>
    <t>/jewelry-details/necklaces/raindrop-ruby-diamond-halo-18k-white-gold-pendant/725183</t>
  </si>
  <si>
    <t>/jewelry-details/necklaces/rare-059-carat-green-oval-alexandrite-013-carat-diamond-18k-white-gold-halo-pendant/25678</t>
  </si>
  <si>
    <t>/jewelry-details/necklaces/slim-halo-027-carat-diamond-18k-white-gold-circle-pendant/637080</t>
  </si>
  <si>
    <t>/jewelry-details/necklaces/smile-025-carat-diamond-14k-white-gold-necklace/652690</t>
  </si>
  <si>
    <t>/jewelry-details/necklaces/smile-050-carat-diamond-bezel-set-14k-rose-gold-necklace/652659</t>
  </si>
  <si>
    <t>/jewelry-details/necklaces/the-everly-sapphire-diamond-18k-white-gold-circle-pendant/724836</t>
  </si>
  <si>
    <t>/jewelry-details/necklaces/three-section-040-carat-diamond-18k-tri-color-rhombus-pendant/649630</t>
  </si>
  <si>
    <t>/jewelry-details/necklaces/three-tier-064-carat-diamond-18k-white-gold-halo-drop-pendant/47159</t>
  </si>
  <si>
    <t>/jewelry-details/necklaces/vibrant-110-carat-aquamarine-and-063-carat-diamond-halo-14k-white-gold-pendant/637226</t>
  </si>
  <si>
    <t>/jewelry-details/pearls/14kt-yellow-gold-65-7mm-side-pearl-diamond-ring/26015</t>
  </si>
  <si>
    <t>/jewelry-details/pearls/14ky-95-10mm-fwcp-aa-swirl-earrings/26014</t>
  </si>
  <si>
    <t>/jewelry-details/pearls/65mm-cultured-pearl-earrings/637382</t>
  </si>
  <si>
    <t>/jewelry-details/pearls/akoya-pearl-strand-necklace/26046</t>
  </si>
  <si>
    <t>/jewelry-details/pearls/classic-18in-80-85mm-akoya-pearl-necklace-with-white-gold-clasp/26047</t>
  </si>
  <si>
    <t>/jewelry-details/pearls/japanese-akoya-pearl-necklace/26041</t>
  </si>
  <si>
    <t>/jewelry-details/pearls/luminous-8mm-akoya-pearl-stud-earrings/725153</t>
  </si>
  <si>
    <t>/jewelry-details/pearls/teardrop-11mm-pearl-115-carat-diamond-18k-white-gold-drop-earrings/641792</t>
  </si>
  <si>
    <t>/jewelry-details/platinum-tiffany-style-aria-eternity-diamond-band/47137</t>
  </si>
  <si>
    <t>/jewelry-details/princess-cut-channel-set-cathedral-diamond-engagement-ring-setting/26278</t>
  </si>
  <si>
    <t>/jewelry-details/wedding-bands-for-men/the-ambassador/718837</t>
  </si>
  <si>
    <t>/jewelry-details/wedding-bands-for-men/the-baron/741405</t>
  </si>
  <si>
    <t>/jewelry-details/wedding-bands-for-men/the-berkshire/680187</t>
  </si>
  <si>
    <t>/jewelry-details/wedding-bands-for-men/the-claddagh/777605</t>
  </si>
  <si>
    <t>/jewelry-details/wedding-bands-for-men/the-conquerer/718107</t>
  </si>
  <si>
    <t>/jewelry-details/wedding-bands-for-men/the-conquerer/718111</t>
  </si>
  <si>
    <t>/jewelry-details/wedding-bands-for-men/the-jefferson/720783</t>
  </si>
  <si>
    <t>/jewelry-details/wedding-bands-for-men/the-killarney/737549</t>
  </si>
  <si>
    <t>/jewelry-details/wedding-bands-for-men/the-knight/775647</t>
  </si>
  <si>
    <t>/jewelry-details/wedding-bands-for-men/the-limerick/681847</t>
  </si>
  <si>
    <t>/jewelry-details/wedding-bands-for-men/the-matrix/775943</t>
  </si>
  <si>
    <t>/jewelry-details/wedding-bands-for-men/the-monroe/737059</t>
  </si>
  <si>
    <t>/jewelry-details/wedding-bands-for-men/the-rebel/719797</t>
  </si>
  <si>
    <t>/jewelry-details/wedding-bands-for-men/the-ridley/738011</t>
  </si>
  <si>
    <t>/jewelry-details/wedding-bands-for-men/the-viking/734577</t>
  </si>
  <si>
    <t>/jewelry-details/wedding-rings/14k-white-gold-beautiful-bead-edge-diamond-wedding-band/640328</t>
  </si>
  <si>
    <t>/jewelry-details/wedding-rings/14k-white-gold-marquise-shaped-diamond-wedding-band/640332</t>
  </si>
  <si>
    <t>/jewelry-details/wedding-rings/14k-white-gold-scalloped-half-eternity-diamond-wedding-band/640334</t>
  </si>
  <si>
    <t>/jewelry-details/wedding-rings/14k-white-gold-wedding-band-with-hammered-finish-and-milgrain-detailing/659605</t>
  </si>
  <si>
    <t>/jewelry-details/wedding-rings/14kt-white-gold-curved-diamond-ring-jacket/208044</t>
  </si>
  <si>
    <t>/jewelry-details/wedding-rings/14kt-white-gold-diamond-ring-jacket-prong-set/208048</t>
  </si>
  <si>
    <t>/jewelry-details/wedding-rings/14kt-white-gold-tantalum-brushed-design-band/587837</t>
  </si>
  <si>
    <t>/jewelry-details/wedding-rings/14kt-yellow-gold-prong-set-diamond-wedding-band/26562</t>
  </si>
  <si>
    <t>/jewelry-details/wedding-rings/18k-rose-gold-baguette-and-round-diamond-wedding-band/26456</t>
  </si>
  <si>
    <t>/jewelry-details/wedding-rings/18k-white-gold-baguette-and-round-diamond-wedding-band/26455</t>
  </si>
  <si>
    <t>/jewelry-details/wedding-rings/18k-yellow-gold-euro-fit-classic-mens-wedding-band/208650</t>
  </si>
  <si>
    <t>/jewelry-details/wedding-rings/18ky-wedding-band-hammered-brushed-indented-sides-6mm/26700</t>
  </si>
  <si>
    <t>/jewelry-details/wedding-rings/35mm-euro-fit-platinum-wedding-band/26860</t>
  </si>
  <si>
    <t>/jewelry-details/wedding-rings/5mm-platinum-euro-style-mens-wedding-band/25577</t>
  </si>
  <si>
    <t>/jewelry-details/wedding-rings/65mm-14kt-red-gold-tantalum-wire-brush-design-band/623647</t>
  </si>
  <si>
    <t>/jewelry-details/wedding-rings/65mm-18k-yellow-gold-euro-style-mens-wedding-band/25573</t>
  </si>
  <si>
    <t>/jewelry-details/wedding-rings/65mm-platinum-mans-wedding-band/587825</t>
  </si>
  <si>
    <t>/jewelry-details/wedding-rings/65mm-sand-blasted-tantalum-mens-wedding-band/25568</t>
  </si>
  <si>
    <t>/jewelry-details/wedding-rings/69-diamond-domed-platinum-pave-set-diamond-band/208088</t>
  </si>
  <si>
    <t>/jewelry-details/wedding-rings/6mm-18k-yellow-gold-band/25583</t>
  </si>
  <si>
    <t>/jewelry-details/wedding-rings/6mm-all-polished-wedding-band-18kt-yellow-center-w-platinum-edge/26709</t>
  </si>
  <si>
    <t>/jewelry-details/wedding-rings/6mm-celtic-love-knot/26692</t>
  </si>
  <si>
    <t>/jewelry-details/wedding-rings/6mm-platinum-brushed-center-mens-wedding-band/26640</t>
  </si>
  <si>
    <t>/jewelry-details/wedding-rings/6mm-platinum-brushed-finish-polished-groove-mens-wedding-band/26626</t>
  </si>
  <si>
    <t>/jewelry-details/wedding-rings/6mm-platinum-euro-fit-classic-mens-wedding-band/208656</t>
  </si>
  <si>
    <t>/jewelry-details/wedding-rings/6mm-platinum-sand-blasted-wedding-band/26703</t>
  </si>
  <si>
    <t>/jewelry-details/wedding-rings/6mm-platinum-satin-finish-vertical-cut-mens-wedding-band/26630</t>
  </si>
  <si>
    <t>/jewelry-details/wedding-rings/74mm-platinum-channel-set-mens-diamond-wedding-band-040cts/26659</t>
  </si>
  <si>
    <t>/jewelry-details/wedding-rings/75mm-14kt-white-gold-tantalum-wire-brush-design-band/623649</t>
  </si>
  <si>
    <t>/jewelry-details/wedding-rings/7mm-beveled-edge-satin-finished-tantalum-mens-wedding-band/25561</t>
  </si>
  <si>
    <t>/jewelry-details/wedding-rings/7mm-platinum-brushed-beveled-mens-wedding-band/26648</t>
  </si>
  <si>
    <t>/jewelry-details/wedding-rings/7mm-platinum-satin-mirror-edged-mens-wedding-band/26684</t>
  </si>
  <si>
    <t>/jewelry-details/wedding-rings/9mm-satin-finished-beveled-edge-tantalum-mens-wedding-band/25563</t>
  </si>
  <si>
    <t>/jewelry-details/wedding-rings/angled-design-full-satin-finish-platinum-7mm-comfort-fit-wedding-band/652844</t>
  </si>
  <si>
    <t>/jewelry-details/wedding-rings/aurelia-rose-gold-split-prong-diamond-wedding-band/26417</t>
  </si>
  <si>
    <t>/jewelry-details/wedding-rings/bar-set-050-carat-baguette-diamond-platinum-wedding-band/208074</t>
  </si>
  <si>
    <t>/jewelry-details/wedding-rings/beautiful-diamond-eternity-band-in-platinum/26431</t>
  </si>
  <si>
    <t>/jewelry-details/wedding-rings/beautiful-platinum-and-baguettes-and-round-diamonds-wedding-band/637148</t>
  </si>
  <si>
    <t>/jewelry-details/wedding-rings/beautiful-platinum-eternity-wedding-band/26823</t>
  </si>
  <si>
    <t>/jewelry-details/wedding-rings/channel-style-bead-set-eternity-diamond-wedding-band/26393</t>
  </si>
  <si>
    <t>/jewelry-details/wedding-rings/clever-hidden-shared-prong-diamond-wedding-band/652626</t>
  </si>
  <si>
    <t>/jewelry-details/wedding-rings/comfort-fit-mens-platinum-wedding-band/25533</t>
  </si>
  <si>
    <t>/jewelry-details/wedding-rings/comfort-fit-mens-wedding-band/25538</t>
  </si>
  <si>
    <t>/jewelry-details/wedding-rings/enchanting-french-twist-wedding-band-in-platinum/26413</t>
  </si>
  <si>
    <t>/jewelry-details/wedding-rings/endless-107-carat-diamond-18k-yellow-gold-eternity-band/725212</t>
  </si>
  <si>
    <t>/jewelry-details/wedding-rings/five-stone-057-carat-oval-diamond-14k-white-gold-band/652796</t>
  </si>
  <si>
    <t>/jewelry-details/wedding-rings/five-stone-cushion-cut-diamond-platinum-band/781031</t>
  </si>
  <si>
    <t>/jewelry-details/wedding-rings/four-prong-basket-210-carat-diamond-platinum-eternity-wedding-band/728849</t>
  </si>
  <si>
    <t>/jewelry-details/wedding-rings/hammered-finish-mens-wedding-band/26662</t>
  </si>
  <si>
    <t>/jewelry-details/wedding-rings/handmade-214-carat-diamond-platinum-milgrain-edge-eternity-band/724891</t>
  </si>
  <si>
    <t>/jewelry-details/wedding-rings/interlacken-platinum-and-diamond-woven-wedding-band/26415</t>
  </si>
  <si>
    <t>/jewelry-details/wedding-rings/milgrain-edge-041-carat-diamond-platinum-wedding-band/724895</t>
  </si>
  <si>
    <t>/jewelry-details/wedding-rings/plat-two-piece-diamond-eternity-bands/26366</t>
  </si>
  <si>
    <t>/jewelry-details/wedding-rings/plat-woven-prong-set-diamond-wedding-band/208114</t>
  </si>
  <si>
    <t>/jewelry-details/wedding-rings/platinum-5-diamond-shared-prong-wedding-band/26567</t>
  </si>
  <si>
    <t>/jewelry-details/wedding-rings/platinum-and-diamond-bead-set-millgrain-wedding-band/26553</t>
  </si>
  <si>
    <t>/jewelry-details/wedding-rings/platinum-bead-set-channel-style-wedding-band/26383</t>
  </si>
  <si>
    <t>/jewelry-details/wedding-rings/platinum-bead-set-diamond-wedding-band/26594</t>
  </si>
  <si>
    <t>/jewelry-details/wedding-rings/platinum-bezel-channel-set-diamond-wedding-band/208188</t>
  </si>
  <si>
    <t>/jewelry-details/wedding-rings/platinum-channel-set-diamond-wedding-band/207866</t>
  </si>
  <si>
    <t>/jewelry-details/wedding-rings/platinum-knife-edge-pave-set-diamond-wedding-band/208158</t>
  </si>
  <si>
    <t>/jewelry-details/wedding-rings/platinum-knife-edge-wedding-band/26602</t>
  </si>
  <si>
    <t>/jewelry-details/wedding-rings/platinum-nine-diamond-shared-prong-wedding-band/26591</t>
  </si>
  <si>
    <t>/jewelry-details/wedding-rings/platinum-pave-set-diamond-wedding-band/26531</t>
  </si>
  <si>
    <t>/jewelry-details/wedding-rings/platinum-prong-set-shared-prong-ring/636427</t>
  </si>
  <si>
    <t>/jewelry-details/wedding-rings/platinum-satin-finish-diamond-design-wedding-band/26693</t>
  </si>
  <si>
    <t>/jewelry-details/wedding-rings/platinum-scalloped-diamond-wedding-band/637239</t>
  </si>
  <si>
    <t>/jewelry-details/wedding-rings/platinum-shared-prong-diamond-eternity-band/26422</t>
  </si>
  <si>
    <t>/jewelry-details/wedding-rings/platinum-shared-prong-diamond-eternity-band/637335</t>
  </si>
  <si>
    <t>/jewelry-details/wedding-rings/platinum-shared-prong-diamond-wedding-band/26580</t>
  </si>
  <si>
    <t>/jewelry-details/wedding-rings/platinum-sophia-style-diamond-eternity-band/26358</t>
  </si>
  <si>
    <t>/jewelry-details/wedding-rings/platinum-wedding-band-6mm-high-polish-satin-rope-center-with-milgrain-details/26706</t>
  </si>
  <si>
    <t>/jewelry-details/wedding-rings/platinum-woven-design-diamond-wedding-band/26405</t>
  </si>
  <si>
    <t>/jewelry-details/wedding-rings/red-gold-wedding-band/26610</t>
  </si>
  <si>
    <t>/jewelry-details/wedding-rings/rose-twine-twisting-diamond-eternity-band-18-karat-rose-gold/26411</t>
  </si>
  <si>
    <t>/jewelry-details/wedding-rings/satin-finish-with-unique-fractured-rock-design-inside-14k-white-gold-band/587793</t>
  </si>
  <si>
    <t>/jewelry-details/wedding-rings/satin-finish-with-unique-ottoman-design-inside-14k-white-gold-band/587775</t>
  </si>
  <si>
    <t>/jewelry-details/wedding-rings/satin-to-polish-engine-turned-edge-platinum-4mm-comfort-fit-wedding-band/652854</t>
  </si>
  <si>
    <t>/jewelry-details/wedding-rings/seven-stone-050-carat-marquise-diamond-14k-white-gold-band/649014</t>
  </si>
  <si>
    <t>/jewelry-details/wedding-rings/shared-prong-diamond-wedding-band-in-18k-white-gold/26441</t>
  </si>
  <si>
    <t>/jewelry-details/wedding-rings/shimmering-13-carat-14k-ladies-diamond-insert-ring/637198</t>
  </si>
  <si>
    <t>/jewelry-details/wedding-rings/single-prong-scalloped-diamond-wedding-band/26436</t>
  </si>
  <si>
    <t>/jewelry-details/wedding-rings/stunning-u-shaped-shared-prong-diamond-and-sapphire-eternity-band/208264</t>
  </si>
  <si>
    <t>/jewelry-details/wedding-rings/the-18k-white-gold-petite-twisted-diamond-wedding-band/26426</t>
  </si>
  <si>
    <t>/jewelry-details/wedding-rings/the-platinum-petite-twisted-diamond-wedding-band/724969</t>
  </si>
  <si>
    <t>/jewelry-details/wedding-rings/thin-platinum-curved-diamond-wedding-band/26408</t>
  </si>
  <si>
    <t>/jewelry-details/wedding-rings/trending-037-carat-diamond-14k-white-gold-open-shank-wedding-band/649764</t>
  </si>
  <si>
    <t>/jewelry-details/wedding-rings/vine-berry-engraved-wedding-band/26623</t>
  </si>
  <si>
    <t>/jewelry-details/wedding-rings/white-gold-curved-prong-diamond-wedding-band/26423</t>
  </si>
  <si>
    <t>/jewelry?kw=072615</t>
  </si>
  <si>
    <t>/jewelry?kw=120680</t>
  </si>
  <si>
    <t>/jewelry?kw=130830</t>
  </si>
  <si>
    <t>/jewelry?kw=1carat vs1</t>
  </si>
  <si>
    <t>/jewelry?kw=bezel+pendant</t>
  </si>
  <si>
    <t>/jewelry?kw=Crossover Solitaire</t>
  </si>
  <si>
    <t>/jewelry?kw=garnet</t>
  </si>
  <si>
    <t>/jewelry?kw=Initial&amp;pageNum=4</t>
  </si>
  <si>
    <t>/jewelry?kw=Radiant</t>
  </si>
  <si>
    <t>/jewelry?kw=Radiant cut engagement ring</t>
  </si>
  <si>
    <t>/jewelry?kw=ruby&amp;pageNum=2</t>
  </si>
  <si>
    <t>/jewelry?kw=Shape</t>
  </si>
  <si>
    <t>/jewelry?kw=three-stone</t>
  </si>
  <si>
    <t>/jewelry?price=101-500&amp;sortSpec=lowtohigh&amp;pageNum=11</t>
  </si>
  <si>
    <t>/jewelry?sortSpec=lowtohigh</t>
  </si>
  <si>
    <t>/jewelry/anniversary-rings/diamond-anniversary-rings?pageNum=4</t>
  </si>
  <si>
    <t>/jewelry/anniversary-rings/diamond-anniversary-rings?price=0-4999.99&amp;pageNum=2</t>
  </si>
  <si>
    <t>/jewelry/bracelets?sortSpec=lowtohigh&amp;pageNum=3</t>
  </si>
  <si>
    <t>/jewelry/bracelets/diamond-bracelets?sortSpec=lowtohigh&amp;pageNum=3</t>
  </si>
  <si>
    <t>/jewelry/bracelets/gemstone-bracelets</t>
  </si>
  <si>
    <t>/jewelry/brand/baguette</t>
  </si>
  <si>
    <t>/jewelry/brand/bangle</t>
  </si>
  <si>
    <t>/jewelry/brand/bezel/engagement-rings</t>
  </si>
  <si>
    <t>/jewelry/brand/circle/anniversary-rings</t>
  </si>
  <si>
    <t>/jewelry/brand/huggies/earrings</t>
  </si>
  <si>
    <t>/jewelry/brand/huggies/earrings/diamond-earrings</t>
  </si>
  <si>
    <t>/jewelry/brand/multi-row/featured</t>
  </si>
  <si>
    <t>/jewelry/brand/rembrandt-charms/bracelets</t>
  </si>
  <si>
    <t>/jewelry/brand/sophia</t>
  </si>
  <si>
    <t>/jewelry/brand/spiga</t>
  </si>
  <si>
    <t>/jewelry/brand/tantalum?showAll=true</t>
  </si>
  <si>
    <t>/jewelry/earrings?pageNum=6</t>
  </si>
  <si>
    <t>/jewelry/earrings?sortSpec=lowtohigh&amp;pageNum=3</t>
  </si>
  <si>
    <t>/jewelry/earrings/brand/jacket</t>
  </si>
  <si>
    <t>/jewelry/earrings/precious-metal-earrings</t>
  </si>
  <si>
    <t>/jewelry/engagement-rings?diamondshape=6</t>
  </si>
  <si>
    <t>/jewelry/engagement-rings?materials=18KY</t>
  </si>
  <si>
    <t>/jewelry/engagement-rings?pageNum=2</t>
  </si>
  <si>
    <t>/jewelry/engagement-rings?pageNum=23</t>
  </si>
  <si>
    <t>/jewelry/engagement-rings?price=1001-2000&amp;showAll=true</t>
  </si>
  <si>
    <t>/jewelry/engagement-rings?sortSpec=lowtohigh?pageNum=5</t>
  </si>
  <si>
    <t>/jewelry/engagement-rings?sortSpec=lowtohigh&amp;pageNum=2</t>
  </si>
  <si>
    <t>/jewelry/engagement-rings?sortSpec=lowtohigh&amp;pageNum=4</t>
  </si>
  <si>
    <t>/jewelry/engagement-rings/brand/pave</t>
  </si>
  <si>
    <t>/jewelry/engagement-rings/brand/solitaire?pageNum=2</t>
  </si>
  <si>
    <t>/jewelry/engagement-rings/engagement-ring-settings?pageNum=6</t>
  </si>
  <si>
    <t>/jewelry/engagement-rings/engagement-ring-settings?price=501-1000</t>
  </si>
  <si>
    <t>/jewelry/engagement-rings/engagement-ring-settings/brand/pave</t>
  </si>
  <si>
    <t>/jewelry/gemstone-jewelry/gemstone-wedding-rings</t>
  </si>
  <si>
    <t>/jewelry/gifts-under-500</t>
  </si>
  <si>
    <t>/jewelry/hidden/custom-engagement-rings</t>
  </si>
  <si>
    <t>/jewelry/mens-jewelry/mens-rings</t>
  </si>
  <si>
    <t>/jewelry/necklaces/diamond-necklaces-and-pendants?pageNum=7</t>
  </si>
  <si>
    <t>/jewelry/necklaces/diamond-necklaces-and-pendants?price=0-199.99,200-499.99</t>
  </si>
  <si>
    <t>/jewelry/necklaces/gemstone-necklaces-and-pendants?pageNum=2</t>
  </si>
  <si>
    <t>/jewelry/pearls/pearl-bracelets</t>
  </si>
  <si>
    <t>/jewelry/sale-items/gifts-from-1000-to-2499</t>
  </si>
  <si>
    <t>/jewelry/seaside-fashion</t>
  </si>
  <si>
    <t>/jewelry/wedding-rings?pageNum=45</t>
  </si>
  <si>
    <t>/jewelry/wedding-rings/diamond-wedding-bands?pageNum=2</t>
  </si>
  <si>
    <t>/jewelry/wedding-rings/diamond-wedding-bands?price=500-999.99,1000-1999.99&amp;sortSpec=lowtohigh&amp;showAll=true</t>
  </si>
  <si>
    <t>/jewelry/wedding-rings/diamond-wedding-bands?price=500-999.99&amp;materials=18KY</t>
  </si>
  <si>
    <t>/jewelry/wedding-rings/diamond-wedding-bands?sortSpec=lowtohigh</t>
  </si>
  <si>
    <t>/jewelry/wedding-rings/diamond-wedding-bands?sortSpec=lowtohigh&amp;pageNum=4</t>
  </si>
  <si>
    <t>/jewelry/wedding-rings/eternity-bands?pageNum=3</t>
  </si>
  <si>
    <t>/jewelry/wedding-rings/eternity-bands?price=1000-1999.99&amp;pageNum=2</t>
  </si>
  <si>
    <t>/jewelry/wedding-rings/wedding-bands-for-men?materials=14KY&amp;sortSpec=lowtohigh</t>
  </si>
  <si>
    <t>/jewelry/wedding-rings/wedding-bands-for-men?sortSpec=featured&amp;pageNum=14</t>
  </si>
  <si>
    <t>/jewelry/wedding-rings/wedding-bands-for-men?sortSpec=lowtohigh&amp;pageNum=14</t>
  </si>
  <si>
    <t>/jewelry/wedding-rings/wedding-bands-for-men/brand/satin?sortSpec=lowtohigh</t>
  </si>
  <si>
    <t>/jewelry/wedding-rings/wedding-bands-for-women?pageNum=2</t>
  </si>
  <si>
    <t>/jewelry/wedding-rings/wedding-bands-for-women?showAll=true</t>
  </si>
  <si>
    <t>/login?page=/sitemanager/edit-content-blog/new</t>
  </si>
  <si>
    <t>/pages//pricing-comparison-infographic/</t>
  </si>
  <si>
    <t>/pages/admin-created-test</t>
  </si>
  <si>
    <t>/pages/by-appointment-only</t>
  </si>
  <si>
    <t>/pages/diamond-price-calculator?fbclid=IwAR30maBIupByA5j_gpJPstGpGApGuoI2mce2Yt9Yf9XkOlnW0l5T5aGP8T0_aem_AeIM6NabE-DYFUlNz84jb4S5WpVYSrcJ2J16a9YJbVNCFHG6syWpb9lyYdjY_zbHoLo</t>
  </si>
  <si>
    <t>/pages/diamond-price-calculator?mwg_rnd=9127186</t>
  </si>
  <si>
    <t>/pages/diamond-price-calculator?shape=E&amp;carat=1.00&amp;color=F&amp;clarity=5&amp;lab=G&amp;proportions=6</t>
  </si>
  <si>
    <t>/pages/diamond-price-calculator?shape=M&amp;carat=3.07&amp;color=J&amp;clarity=6&amp;lab=&amp;proportions=</t>
  </si>
  <si>
    <t>/pages/diamond-price-calculator?shape=O&amp;carat=.75&amp;color=I&amp;clarity=0&amp;lab=&amp;proportions=</t>
  </si>
  <si>
    <t>/pages/diamond-price-calculator?shape=P&amp;carat=0.5&amp;color=G&amp;clarity=1&amp;lab=&amp;proportions=</t>
  </si>
  <si>
    <t>/pages/diamond-price-calculator?shape=P&amp;carat=1.00&amp;color=D&amp;clarity=1&amp;lab=&amp;proportions=</t>
  </si>
  <si>
    <t>/pages/diamond-price-calculator?shape=R&amp;carat=0.10&amp;color=H&amp;clarity=2&amp;lab=&amp;proportions=</t>
  </si>
  <si>
    <t>/pages/diamond-price-calculator?shape=R&amp;carat=0.3&amp;color=J&amp;clarity=1&amp;lab=&amp;proportions=</t>
  </si>
  <si>
    <t>/pages/diamond-price-calculator?shape=R&amp;carat=0.5&amp;color=E&amp;clarity=6&amp;lab=&amp;proportions=</t>
  </si>
  <si>
    <t>/pages/diamond-price-calculator?shape=R&amp;carat=0.60&amp;color=G&amp;clarity=3&amp;lab=&amp;proportions=</t>
  </si>
  <si>
    <t>/pages/diamond-price-calculator?shape=R&amp;carat=1.00&amp;color=&amp;clarity=&amp;lab=&amp;proportions=</t>
  </si>
  <si>
    <t>/pages/diamond-price-calculator?shape=R&amp;carat=1.00&amp;color=D&amp;clarity=3&amp;lab=&amp;proportions=</t>
  </si>
  <si>
    <t>/pages/diamond-price-calculator?shape=R&amp;carat=1.03&amp;color=J&amp;clarity=6&amp;lab=&amp;proportions=</t>
  </si>
  <si>
    <t>/pages/diamond-price-calculator?shape=R&amp;carat=2&amp;color=H&amp;clarity=3&amp;lab=&amp;proportions=</t>
  </si>
  <si>
    <t>/pages/diamond-price-calculator?shape=R&amp;carat=3.1&amp;color=J&amp;clarity=3&amp;lab=&amp;proportions=</t>
  </si>
  <si>
    <t>/pages/diamond-price-calculator#Overview</t>
  </si>
  <si>
    <t>/pages/engagement-rings-all-shapes</t>
  </si>
  <si>
    <t>/pages/financing-options-2</t>
  </si>
  <si>
    <t>/pages/four-cs</t>
  </si>
  <si>
    <t>/pages/home-page-builder</t>
  </si>
  <si>
    <t>/pages/jewelry-repairs</t>
  </si>
  <si>
    <t>/pages/netsuite-based-test-form</t>
  </si>
  <si>
    <t>/pages/our-unique-approach</t>
  </si>
  <si>
    <t>/pages/thank-you-app-req-bu-as-of-6822</t>
  </si>
  <si>
    <t>/pages/valentines-day-gift-guide</t>
  </si>
  <si>
    <t>/pages/who-we-are-OLD</t>
  </si>
  <si>
    <t>/register</t>
  </si>
  <si>
    <t>/ringsettings-details/10k-white-gold-oval-halo-engagement-ring/645635</t>
  </si>
  <si>
    <t>/ringsettings-details/10k-yellow-gold-trellis-engagement-ring/646555</t>
  </si>
  <si>
    <t>/ringsettings-details/14k-white-gold-halo-engagement-ring/645373</t>
  </si>
  <si>
    <t>/ringsettings-details/18k-yellow-gold-antique-engagement-ring/648969</t>
  </si>
  <si>
    <t>/ringsettings-details/engagement-ring-settings/10k-white-gold-antique-engagement-ring/646483</t>
  </si>
  <si>
    <t>/ringsettings-details/engagement-ring-settings/10k-white-gold-emerald-halo-engagement-ring/648133</t>
  </si>
  <si>
    <t>/ringsettings-details/engagement-ring-settings/10k-white-gold-round-halo-engagement-ring/642259</t>
  </si>
  <si>
    <t>/ringsettings-details/engagement-ring-settings/10k-white-gold-round-halo-engagement-ring/643169</t>
  </si>
  <si>
    <t>/ringsettings-details/engagement-ring-settings/10k-white-gold-round-halo-engagement-ring/643477</t>
  </si>
  <si>
    <t>/ringsettings-details/engagement-ring-settings/10k-white-gold-round-halo-engagement-ring/644991</t>
  </si>
  <si>
    <t>/ringsettings-details/engagement-ring-settings/10k-white-gold-round-halo-engagement-ring/645019</t>
  </si>
  <si>
    <t>/ringsettings-details/engagement-ring-settings/10k-white-gold-round-halo-engagement-ring/647209</t>
  </si>
  <si>
    <t>/ringsettings-details/engagement-ring-settings/10k-white-gold-trellis-engagement-ring/643561</t>
  </si>
  <si>
    <t>/ringsettings-details/engagement-ring-settings/10k-white-gold-trellis-engagement-ring/646357</t>
  </si>
  <si>
    <t>/ringsettings-details/engagement-ring-settings/10k-white-gold-trellis-engagement-ring/646623</t>
  </si>
  <si>
    <t>/ringsettings-details/engagement-ring-settings/10k-yellow-gold-antique-engagement-ring/646485</t>
  </si>
  <si>
    <t>/ringsettings-details/engagement-ring-settings/10k-yellow-gold-antique-engagement-ring/648961</t>
  </si>
  <si>
    <t>/ringsettings-details/engagement-ring-settings/10k-yellow-gold-halo-engagement-ring/648401</t>
  </si>
  <si>
    <t>/ringsettings-details/engagement-ring-settings/10k-yellow-gold-oval-halo-engagement-ring/644077</t>
  </si>
  <si>
    <t>/ringsettings-details/engagement-ring-settings/10k-yellow-gold-oval-halo-engagement-ring/645623</t>
  </si>
  <si>
    <t>/ringsettings-details/engagement-ring-settings/10k-yellow-gold-round-halo-engagement-ring/642989</t>
  </si>
  <si>
    <t>/ringsettings-details/engagement-ring-settings/10k-yellow-gold-round-halo-engagement-ring/643017</t>
  </si>
  <si>
    <t>/ringsettings-details/engagement-ring-settings/10k-yellow-gold-round-halo-engagement-ring/648107</t>
  </si>
  <si>
    <t>/ringsettings-details/engagement-ring-settings/10k-yellow-gold-round-halo-engagement-ring/648541</t>
  </si>
  <si>
    <t>/ringsettings-details/engagement-ring-settings/10k-yellow-gold-single-row-prong-engagement-ring/643395</t>
  </si>
  <si>
    <t>/ringsettings-details/engagement-ring-settings/10k-yellow-gold-three-stone-round-engagement-ring/646113</t>
  </si>
  <si>
    <t>/ringsettings-details/engagement-ring-settings/10k-yellow-gold-three-stone-round-engagement-ring/646667</t>
  </si>
  <si>
    <t>/ringsettings-details/engagement-ring-settings/10k-yellow-gold-three-stone-round-engagement-ring/646679</t>
  </si>
  <si>
    <t>/ringsettings-details/engagement-ring-settings/14k-white-gold-emerald-halo-engagement-ring/645905</t>
  </si>
  <si>
    <t>/ringsettings-details/engagement-ring-settings/14k-white-gold-emerald-halo-engagement-ring/647451</t>
  </si>
  <si>
    <t>/ringsettings-details/engagement-ring-settings/14k-white-gold-halo-engagement-ring/648025</t>
  </si>
  <si>
    <t>/ringsettings-details/engagement-ring-settings/14k-white-gold-halo-engagement-ring/648207</t>
  </si>
  <si>
    <t>/ringsettings-details/engagement-ring-settings/14k-white-gold-oval-halo-engagement-ring/645499</t>
  </si>
  <si>
    <t>/ringsettings-details/engagement-ring-settings/14k-white-gold-oval-halo-engagement-ring/647061</t>
  </si>
  <si>
    <t>/ringsettings-details/engagement-ring-settings/14k-white-gold-round-halo-engagement-ring/646017</t>
  </si>
  <si>
    <t>/ringsettings-details/engagement-ring-settings/14k-white-gold-round-halo-engagement-ring/647185</t>
  </si>
  <si>
    <t>/ringsettings-details/engagement-ring-settings/14k-white-gold-three-stone-round-engagement-ring/646129</t>
  </si>
  <si>
    <t>/ringsettings-details/engagement-ring-settings/14k-white-gold-three-stone-round-engagement-ring/646213</t>
  </si>
  <si>
    <t>/ringsettings-details/engagement-ring-settings/14k-white-gold-three-stone-round-engagement-ring/646255</t>
  </si>
  <si>
    <t>/ringsettings-details/engagement-ring-settings/14k-white-gold-three-stone-round-engagement-ring/646669</t>
  </si>
  <si>
    <t>/ringsettings-details/engagement-ring-settings/14k-white-gold-three-stone-round-engagement-ring/646711</t>
  </si>
  <si>
    <t>/ringsettings-details/engagement-ring-settings/14k-white-gold-trellis-engagement-ring/646347</t>
  </si>
  <si>
    <t>/ringsettings-details/engagement-ring-settings/14k-white-gold-trellis-engagement-ring/646375</t>
  </si>
  <si>
    <t>/ringsettings-details/engagement-ring-settings/14k-yellow-gold-halo-engagement-ring/642055</t>
  </si>
  <si>
    <t>/ringsettings-details/engagement-ring-settings/14k-yellow-gold-halo-engagement-ring/642503</t>
  </si>
  <si>
    <t>/ringsettings-details/engagement-ring-settings/14k-yellow-gold-halo-engagement-ring/645487</t>
  </si>
  <si>
    <t>/ringsettings-details/engagement-ring-settings/14k-yellow-gold-trellis-engagement-ring/646433</t>
  </si>
  <si>
    <t>/ringsettings-details/engagement-ring-settings/18k-white-gold-oval-halo-engagement-ring/647497</t>
  </si>
  <si>
    <t>/ringsettings-details/engagement-ring-settings/18k-white-gold-round-halo-engagement-ring/642099</t>
  </si>
  <si>
    <t>/ringsettings-details/engagement-ring-settings/18k-yellow-gold-emerald-halo-engagement-ring/647401</t>
  </si>
  <si>
    <t>/ringsettings-details/engagement-ring-settings/18k-yellow-gold-emerald-halo-engagement-ring/647457</t>
  </si>
  <si>
    <t>/ringsettings-details/engagement-ring-settings/18k-yellow-gold-halo-2-row-diamond-band/644399</t>
  </si>
  <si>
    <t>/ringsettings-details/engagement-ring-settings/18k-yellow-gold-halo-engagement-ring/642087</t>
  </si>
  <si>
    <t>/ringsettings-details/engagement-ring-settings/18k-yellow-gold-oval-halo-engagement-ring/645617</t>
  </si>
  <si>
    <t>/ringsettings-details/engagement-ring-settings/18k-yellow-gold-round-halo-engagement-ring/644455</t>
  </si>
  <si>
    <t>/ringsettings-details/engagement-ring-settings/platinum-emerald-halo-engagement-ring/647347</t>
  </si>
  <si>
    <t>/ringsettings-details/engagement-ring-settings/platinum-emerald-halo-engagement-ring/647417</t>
  </si>
  <si>
    <t>/ringsettings-details/engagement-ring-settings/platinum-engagement-ring/644377</t>
  </si>
  <si>
    <t>/ringsettings-details/engagement-ring-settings/platinum-halo-2-row-diamond-band/644401</t>
  </si>
  <si>
    <t>/ringsettings-details/engagement-ring-settings/platinum-halo-engagement-ring/643265</t>
  </si>
  <si>
    <t>/ringsettings-details/engagement-ring-settings/platinum-halo-engagement-ring/645311</t>
  </si>
  <si>
    <t>/ringsettings-details/engagement-ring-settings/platinum-multi-row-engagement-ring/643743</t>
  </si>
  <si>
    <t>/ringsettings-details/engagement-ring-settings/platinum-round-halo-engagement-ring/647165</t>
  </si>
  <si>
    <t>/ringsettings-details/engagement-ring-settings/platinum-round-halo-engagement-ring/648285</t>
  </si>
  <si>
    <t>/ringsettings-details/engagement-ring-settings/platinum-three-stone-round-engagement-ring/646109</t>
  </si>
  <si>
    <t>/ringsettings-details/engagement-ring-settings/platinum-three-stone-round-engagement-ring/646789</t>
  </si>
  <si>
    <t>/ringsettings-details/engagement-ring-settings/platinum-trellis-engagement-ring/646565</t>
  </si>
  <si>
    <t>/ringsettings-details/engagement-rings/beautiful-platinum-three-stone-diamond-engagement-setting/623673</t>
  </si>
  <si>
    <t>/ringsettings-details/engagement-rings/clara-18k-yellow-gold-4-prong-ez-fit-engagement-ring-setting/210456</t>
  </si>
  <si>
    <t>/ringsettings-details/engagement-rings/classic-tapered-style-platinum-pear-shape-round-diamonds-engagement-ring-mounting/636310</t>
  </si>
  <si>
    <t>/ringsettings-details/engagement-rings/ingrid-intricate-white-gold-marquise-and-round-diamond-engagement-ring-setting/26203</t>
  </si>
  <si>
    <t>/ringsettings-details/engagement-rings/platinum-prong-set-diamond-engagement-setting/210138</t>
  </si>
  <si>
    <t>/ringsettings-details/engagement-rings/pt-3-stone-eng-mtg-2ec53cttw/210194</t>
  </si>
  <si>
    <t>/ringsettings-details/engagement-rings/timeless-basket-style-solitaire-platinum-setting/623695</t>
  </si>
  <si>
    <t>/ringsettings-details/engagement-rings/timeless-tapered-baguette-diamond-engagement-ring-setting-carat/26197</t>
  </si>
  <si>
    <t>/ringsettings-details/platinum-antique-inspired-diamond-engagement-ring-mounting/209476</t>
  </si>
  <si>
    <t>/ringsettings-details/platinum-hemera-fancy-twist-diamond-engagement-ring-setting/26209</t>
  </si>
  <si>
    <t>/ringsettings-diamonds-details?id=140040089</t>
  </si>
  <si>
    <t>/ringsettings-diamonds-details?id=141144720</t>
  </si>
  <si>
    <t>/ringsettings-diamonds-details?id=144045222</t>
  </si>
  <si>
    <t>/ringsettings-diamonds-details?id=146030363</t>
  </si>
  <si>
    <t>/ringsettings-diamonds-details?id=150861468</t>
  </si>
  <si>
    <t>/ringsettings-diamonds?carat=0.5-0.5&amp;price=0-0</t>
  </si>
  <si>
    <t>/ringsettings-diamonds?carat=1.9-1.9&amp;diamondshape=oval</t>
  </si>
  <si>
    <t>/ringsettings-diamonds?carat=2-2&amp;diamondshape=oval&amp;color=any-g&amp;cut=any-good&amp;clarity=si1-any</t>
  </si>
  <si>
    <t>/ringsettings?materials=White Gold&amp;price=0-4000</t>
  </si>
  <si>
    <t>/ringsettings?settingType=Pave&amp;materials=White Gold</t>
  </si>
  <si>
    <t>/social-media</t>
  </si>
  <si>
    <t>/social-media-post/instagram-18255673795135074</t>
  </si>
  <si>
    <t>URLs to 301</t>
  </si>
  <si>
    <t>Old URLs</t>
  </si>
  <si>
    <t>New URL</t>
  </si>
  <si>
    <t>/diamond-price-calculator</t>
  </si>
  <si>
    <t>/jewelry-repairs-and-restoration</t>
  </si>
  <si>
    <t>/search-for-diamonds</t>
  </si>
  <si>
    <t>/blog/the-legend-and-symbolism-of-the-diamond</t>
  </si>
  <si>
    <t>/custom-engagement-rings</t>
  </si>
  <si>
    <t>/blog/130-wedding-band-engraving-ideas</t>
  </si>
  <si>
    <t>/blog/what-does-ethically-sourced-actually-mean</t>
  </si>
  <si>
    <t>/ethically-sourced-diamonds</t>
  </si>
  <si>
    <t>/fine-jewelry</t>
  </si>
  <si>
    <t>/Lyria-Leaves-Wedding-Band-From-The-Movie-The-Vow-18kt-Yellow-Gold-110110?quantity=1&amp;keywords=110110</t>
  </si>
  <si>
    <t>/gemstone-jewelry</t>
  </si>
  <si>
    <t>/jewelry-appraisals</t>
  </si>
  <si>
    <t>/Platinum-Inset-Diamond-Head-Engagement-Ring-Setting-360437</t>
  </si>
  <si>
    <t>/fine-jewelry/wedding-bands/diamond-wedding-bands</t>
  </si>
  <si>
    <t>/Platinum-tulip-head-diamond-solitaire-engagement-ring-setting-391802</t>
  </si>
  <si>
    <t>/custom-jewelry</t>
  </si>
  <si>
    <t>/gia-certified-diamonds</t>
  </si>
  <si>
    <t>/fine-jewelry/pearls</t>
  </si>
  <si>
    <t>/diamond-ring-price-comparison</t>
  </si>
  <si>
    <t>/blog/calculate-the-value-of-a-diamond-before-you-buy-or-sell?page=1</t>
  </si>
  <si>
    <t>/Stunning-4-Carat-Princess-Cut-Double-Row-Diamond-Engagement-Ring-01-50892?quantity=1</t>
  </si>
  <si>
    <t>/14kt-White-Gold-alternating-square-and-round-bezel-set-diamond-wedding-band-071402</t>
  </si>
  <si>
    <t>/custom-wedding-bands</t>
  </si>
  <si>
    <t>/Platinum-3-Stone-Ruby-Ring-with-Center-Oval-Ruby-2.28ct-Ruby-and-2-Oval-Diamond-Ring-050453</t>
  </si>
  <si>
    <t>/blog/diamond-shape-and-personality</t>
  </si>
  <si>
    <t>/Halo-Style-Tsavorite-Green-Garnet-Cocktail-Ring-050388</t>
  </si>
  <si>
    <t>/Platinum-Shared-Prong-Drop-Bar-3-Diamond-Pendant-120783</t>
  </si>
  <si>
    <t>/fine-jewelry/engagement-rings?collection=Vintage</t>
  </si>
  <si>
    <t>/fine-jewelry/earrings/diamond-earrings</t>
  </si>
  <si>
    <t>/diamond-consignment-service</t>
  </si>
  <si>
    <t>/wedding-bands</t>
  </si>
  <si>
    <t>/blog/five-misconceptions-of-lab-grown-diamonds</t>
  </si>
  <si>
    <t>/Platinum-Knife-Edge-Solitaire-Engagement-Ring-Setting-390172</t>
  </si>
  <si>
    <t>/16-Inch-14K-White-Gold-Cable-Chain-with-Lobster-Clasp-230484</t>
  </si>
  <si>
    <t>/fine-jewelry/engagement-rings</t>
  </si>
  <si>
    <t>/Platinum-Circle-Pave-Set-Diamond-Pendant-120541</t>
  </si>
  <si>
    <t>/fine-jewelry/earrings</t>
  </si>
  <si>
    <t>/Hidden-Diamond-Rounded-Platinum-Wedding-Band-071397</t>
  </si>
  <si>
    <t>/fine-jewelry/wedding-bands/diamond-wedding-bands?collection=Eternity</t>
  </si>
  <si>
    <t>/14k-Yellow-Gold-Diamond-Bangle-Bracelet-181110</t>
  </si>
  <si>
    <t>/6.5mm-Platinum-Swirl-Wire-Brushed-and-Rounded-Edge-Mens-Wedding-Band-090794</t>
  </si>
  <si>
    <t>/fine-jewelry/wedding-bands/mens-wedding-bands</t>
  </si>
  <si>
    <t>/washington-diamond-wholesale</t>
  </si>
  <si>
    <t>/washington-diamond-services</t>
  </si>
  <si>
    <t>/Crossover-Cathedral-Square-Diamond-Platinum-Engagement-Ring-Mounting-390617</t>
  </si>
  <si>
    <t>/Platinum-Genuine-Steven-Kretchmer-Tension-Ring-Setting-390220</t>
  </si>
  <si>
    <t>/Platinum-Solitaire-Engagement-Ring-Setting-390541</t>
  </si>
  <si>
    <t>/fine-jewelry/engagement-rings?collection=Three-Stone</t>
  </si>
  <si>
    <t>/Three-Stone-Sapphire-and-Diamond-Engagement-Ring-Setting-362143</t>
  </si>
  <si>
    <t>/Beautiful-18K-White-Gold-Pink-Sapphire-and-Diamond-Necklace-130790</t>
  </si>
  <si>
    <t>/14kt-White-Gold-Curved-Diamond-Ring-Jacket-071413</t>
  </si>
  <si>
    <t>/fine-jewelry/bracelets</t>
  </si>
  <si>
    <t>/Multi-Row-1.50-Carat-Diamond-14K-White-Gold-French-Pave-Ring-113324?quantity=1</t>
  </si>
  <si>
    <t>/14k-Yellow-Gold-Hinged-Hoop-Earrings-178987</t>
  </si>
  <si>
    <t>/fine-jewelry/gemstone-rings</t>
  </si>
  <si>
    <t>/engagement-ring-guide</t>
  </si>
  <si>
    <t>/fine-jewelry/necklaces/diamond-necklaces-pendants</t>
  </si>
  <si>
    <t>/wedding-band-guide</t>
  </si>
  <si>
    <t>/schedule-engagement-ring-consultation</t>
  </si>
  <si>
    <t>/Customizable-Platinum-Friendship-Ring-110000p</t>
  </si>
  <si>
    <t>/Ruby-Earring-Jackets-160711</t>
  </si>
  <si>
    <t>/Enchanting-Ocean-Blue-Green-Pear-Shaped-Beryl-and-Diamond-Pendant-130830</t>
  </si>
  <si>
    <t>/diamond-buying-guide</t>
  </si>
  <si>
    <t>/Classic-French-Pave-Diamond-Engagement-Ring-Setting-366929</t>
  </si>
  <si>
    <t>/Luna-Hidden-Halo-Platinum-Diamond-Engagement-Ring-Setting-369974</t>
  </si>
  <si>
    <t>/Platinum-Split-Shank-Pear-Shape-Design-Engagement-Ring-Mounting-366473</t>
  </si>
  <si>
    <t>/14kt-White-Gold-Diamond-Ring-Jacket-071415</t>
  </si>
  <si>
    <t>/fine-jewelry/diamond-anniversary-rings</t>
  </si>
  <si>
    <t>/14K-Rose-Gold-Diamond-Bangle-Bracelet-181141R</t>
  </si>
  <si>
    <t>/Aquamarine-and-Diamond-Halo-Earrings-168162</t>
  </si>
  <si>
    <t>/Edwardian-Inspired-Platinum-Engraved-Ring-362064</t>
  </si>
  <si>
    <t>/Hidden-Halo-Pave-Style-Diamond-Engagement-Mounting-362340</t>
  </si>
  <si>
    <t>/Ingrid-Intricate-White-Gold-Marquise-And-Round-Diamond-Engagement-Ring-Setting-360974</t>
  </si>
  <si>
    <t>/Platinum-and-Diamond-Split-Shank-Engagement-Ring-Setting-369346</t>
  </si>
  <si>
    <t>/Solid-Split-Prong-High-Quality-Diamond-Engagement-Ring-Setting-362152</t>
  </si>
  <si>
    <t>/Timeless-Tapered-Baguette-Diamond-Engagement-Ring-Setting-Carat-360587</t>
  </si>
  <si>
    <t>/Golden-Twine-18k-Yellow-Gold-Twisting-Diamond-Eternity-Wedding-Band-0.42cts-071016</t>
  </si>
  <si>
    <t>/Half-Rounded-Platinum-1mm-Spacer-Ring-080261</t>
  </si>
  <si>
    <t>/Platinum-Curved-Style-Thin-Diamond-Wedding-Band-070528</t>
  </si>
  <si>
    <t>/Platinum-Semi-Bezel-Set-Diamond-Wedding-Band-079930</t>
  </si>
  <si>
    <t>/fine-jewelry/wedding-bands/mens-wedding-bands?order=onlinecustomerprice:asc</t>
  </si>
  <si>
    <t>/fine-jewelry/wedding-bands/womens-wedding-bands</t>
  </si>
  <si>
    <t>/cleaning-inspection-service</t>
  </si>
  <si>
    <t>/all-diamond-shapes</t>
  </si>
  <si>
    <t>/financing</t>
  </si>
  <si>
    <t>/loose-diamonds</t>
  </si>
  <si>
    <t>/14K-Rose-Gold-Chain-Bar-Diamond-Bracelet-188622</t>
  </si>
  <si>
    <t>/fine-jewelry/earrings/diamond-earrings?collection=Studs</t>
  </si>
  <si>
    <t>/Emerald-Earring-Jackets-161679</t>
  </si>
  <si>
    <t>/Majestic-1.25-Carat-Diamond-Double-Row-Platinum-Engagement-Ring-Setting-362625</t>
  </si>
  <si>
    <t>/Platinum-Flush-Fit-diamond-solitaire-engagement-ring-setting-391319</t>
  </si>
  <si>
    <t>/Three-Stone-0.25-Carat-Tapered-Baguette-Diamond-18K-Yellow-Gold-Platinum-Engagement-Setting-361587Y</t>
  </si>
  <si>
    <t>/7mm-Platinum-Satin-Finish-Mens-Black-Diamond-Wedding-Band-0.54cts-090679</t>
  </si>
  <si>
    <t>/fine-jewelry/bracelets/precious-metal-bracelets</t>
  </si>
  <si>
    <t>/fine-jewelry/engagement-rings/complete-engagement-rings</t>
  </si>
  <si>
    <t>/search?gemstone-type=Emerald</t>
  </si>
  <si>
    <t>/fine-jewelry/wedding-bands</t>
  </si>
  <si>
    <t>/gemstone-education</t>
  </si>
  <si>
    <t>/Stunning-Emerald-Drop-Earrings-In-A-Halo-Of-Diamonds-160354</t>
  </si>
  <si>
    <t>/GIA-1.50ct.-RBC-J-SI1-Platinum-010307</t>
  </si>
  <si>
    <t>/Kayla-Solitaire-Collar-Engagement-Ring-Setting-362178</t>
  </si>
  <si>
    <t>/Platinum-Half-Bezel-Set-Solitaire-Diamond-Engagement-Setting-390179</t>
  </si>
  <si>
    <t>/Hidden-Diamond-Rounded-18K-Rose-Gold-Wedding-Band-071398</t>
  </si>
  <si>
    <t>Platinum-Azure-Channel-Style-Bead-Set-Diamond-Wedding-Band-070486</t>
  </si>
  <si>
    <t>/search?keywords=alexandrite</t>
  </si>
  <si>
    <t>/fine-jewelry/engagement-rings/engagement-settings</t>
  </si>
  <si>
    <t>/fine-jewelry/necklaces/chains</t>
  </si>
  <si>
    <t>/guarantee</t>
  </si>
  <si>
    <t>/blog/dont-let-broken-jewelry-get-you-down</t>
  </si>
  <si>
    <t>/diamond-education</t>
  </si>
  <si>
    <t>/metal-buying</t>
  </si>
  <si>
    <t>/14K-White-Gold-Triple-Row-Diamond-Bangle-181144W</t>
  </si>
  <si>
    <t>/14KG-Small-Twisted-Hoop-Earrings-178997</t>
  </si>
  <si>
    <t>/Petite-14kt-Yellow-Gold-Tumbleweed-Earrings-170384</t>
  </si>
  <si>
    <t>/Annabelle-4.00-Carat-Radiant-Cut-Three-Stone-Diamond-Platinum-Engagement-Ring-01-51171</t>
  </si>
  <si>
    <t>/Semi-Split-Solitaire-Engagement-Ring-Setting-390253</t>
  </si>
  <si>
    <t>/Stunning-18kt-Yellow-Gold-Cushion-Hidden-Halo-Engagement-Ring-Setting-360288</t>
  </si>
  <si>
    <t>/5mm-18k-Yellow-Gold-Euro-Style-Mens-Wedding-Band-108518</t>
  </si>
  <si>
    <t>/Bead-Set-Milgrain-Edge-Diamond-Wedding-Band-079295</t>
  </si>
  <si>
    <t>/Platinum-U-shaped-Shared-Prong-Diamond-Eternity-Band-079751</t>
  </si>
  <si>
    <t>/Tapered-Center-0.20-Carat-Diamond-18K-Yellow-Gold-Curved-Wedding-Band-071806</t>
  </si>
  <si>
    <t>/Vintage-Rose-Gold-Diamond-Wedding-Band-070870</t>
  </si>
  <si>
    <t>/fine-jewelry/necklaces</t>
  </si>
  <si>
    <t>/fine-jewelry/pearls?collection=Strand</t>
  </si>
  <si>
    <t>/diamond-upgrades</t>
  </si>
  <si>
    <t>/exceptional-diamond-collection</t>
  </si>
  <si>
    <t>/blog/celebrate-junes-birthstone-the-radiant-pearls</t>
  </si>
  <si>
    <t>/cushion-cut-diamond</t>
  </si>
  <si>
    <t>/Beautiful-Diamond-Hoop-Earrings-151675</t>
  </si>
  <si>
    <t>/Custom-18KY-Emerald-Cut-Gem-Emerald-Earrings-4.60ct-160151</t>
  </si>
  <si>
    <t>/Pear-Shape-Blue-Sapphire-Diamonds-14K-White-Gold-Earrings-160180</t>
  </si>
  <si>
    <t>/18k-White-And-Rose-Gold-Floral-Bypass-Engagement-Ring-Setting-362326</t>
  </si>
  <si>
    <t>/Classic-Yellow-Gold-Solitaire-Engagement-Ring-Setting-393125</t>
  </si>
  <si>
    <t>/Cushion-Shaped-0.71-Carat-Diamond-Halo-18K-White-Gold-Cathedral-Style-Engagement-Ring-Setting-362651</t>
  </si>
  <si>
    <t>/Hidden-Halo-0.42-Carat-Diamond-18K-White-Gold-Oval-Engagement-Setting-362443</t>
  </si>
  <si>
    <t>/High-Quality-Platinum-Straight-Line-Diamond-Engagement-Ring-Setting-366920</t>
  </si>
  <si>
    <t>/Imperial-2.02-Carat-Diamond-Halo-Swirling-Cathedral-Style-Platinum-Engagement-Ring-Setting-362629</t>
  </si>
  <si>
    <t>/Split-Shank-0.70-Carat-Diamond-Platinum-Solitaire-Engagement-Ring-011274</t>
  </si>
  <si>
    <t>/Three-Stone-3.35-Emerald-Cut-Ruby-1.20-Carat-Emerald-Cut-Diamond-Platinum-Ring-050622</t>
  </si>
  <si>
    <t>/18kt-Rose-Gold-Necklace-set-with-4-Various-Shape-Rose-Cut-Diamonds-Necklace-120687</t>
  </si>
  <si>
    <t>/Petite-0.33-Carat-Pear-Shaped-Diamond-18K-White-Gold-Bezel-Set-Necklace-120747</t>
  </si>
  <si>
    <t>/6mm-Platinum-Matte-and-Mirror-Lined-Mens-Wedding-Band-090778</t>
  </si>
  <si>
    <t>/Platinum-Bar-Set-Baguette-Round-Diamond-Wedding-Band-072370</t>
  </si>
  <si>
    <t>/Platinum-Bead-Set-Channel-Style-Diamond-Wedding-Band-070260</t>
  </si>
  <si>
    <t>/Platinum-Channel-Set-Diamond-Wedding-Band-070487z</t>
  </si>
  <si>
    <t>/Platinum-Channel-Set-Emerald-Cut-Diamond-Wedding-Band-072416</t>
  </si>
  <si>
    <t>/Platinum-Channel-Set-Eternity-Diamond-Wedding-Band-079517</t>
  </si>
  <si>
    <t>/Platinum-Curved-Prong-Set-Diamond-Wedding-Band-070190</t>
  </si>
  <si>
    <t>/Platinum-Riley-U-shaped-Eternity-Band-071175</t>
  </si>
  <si>
    <t>/Platinum-Shared-Prong-Wedding-Band-9-Diamonds-Half-Carat-073894</t>
  </si>
  <si>
    <t>/fine-jewelry/bracelets/diamond-bracelets?order=onlinecustomerprice:asc</t>
  </si>
  <si>
    <t>/fine-jewelry/wedding-bands/mens-wedding-bands?metal=Tantalum</t>
  </si>
  <si>
    <t>/fine-jewelry/engagement-rings?collection=Halo</t>
  </si>
  <si>
    <t>/search</t>
  </si>
  <si>
    <t>/fine-jewelry/engagement-rings?collection=Halo&amp;metal=Platinum</t>
  </si>
  <si>
    <t>/search?additional-option=On-Sale</t>
  </si>
  <si>
    <t>/engagement-ring-settings-education</t>
  </si>
  <si>
    <t>/18K-White-Gold-Multi-Row-Cluster-Ring-110938</t>
  </si>
  <si>
    <t>/Circlet-Twisted-Stackable-Band-14K-Yellow-Gold-110212</t>
  </si>
  <si>
    <t>/14-Karat-White-Gold-Diamond-Bangle-Bracelet-181141W</t>
  </si>
  <si>
    <t>5.54-Carat-Round-and-Baguette-Diamond-Bracelet-185094</t>
  </si>
  <si>
    <t>/Brilliant-Diamond-Flex-Open-Cuff-18K-Yellow-White-Gold-Bracelet-188680</t>
  </si>
  <si>
    <t>/fine-jewelry/bracelets/diamond-bracelets</t>
  </si>
  <si>
    <t>/Blue-Sapphire-Earring-Jackets-160710</t>
  </si>
  <si>
    <t>/Three-Prong-0.65-Carat-Sapphire-14K-White-Gold-Stud-Earrings-160172</t>
  </si>
  <si>
    <t>/18K-Rose-Gold-Oval-Diamond-Engagement-Ring-with-Double-Row-Pave-011277</t>
  </si>
  <si>
    <t>/18k-Yellow-Gold-Lumiere-Diamond-Antique-Rose-Cut-Solitaire-Engagement-Ring-012107</t>
  </si>
  <si>
    <t>/Lynea-Open-Style-Engagement-Ring-Setting-362120</t>
  </si>
  <si>
    <t>/Mirabella-Split-Shank-Oval-Diamond-Halo-18K-White-Gold-Decorous-Engagement-Ring-Setting-362649</t>
  </si>
  <si>
    <t>/Platinum-Oval-Halo-Complete-Engagement-Ring-011266</t>
  </si>
  <si>
    <t>/Plat-Dias-Shared-Prong-Eng.-Mtg-set-w-12-rbc-0.60cts-t.w-360959</t>
  </si>
  <si>
    <t>/Platinum-Abigail-Diamond-Solitaire-Engagement-Ring-Setting-391200</t>
  </si>
  <si>
    <t>/Platinum-knife-edge-diamond-solitaire-engagement-ring-setting-391950</t>
  </si>
  <si>
    <t>/Platinum-Oval-Diamond-Engagement-Solitaire-Ring-010363</t>
  </si>
  <si>
    <t>/Stunning-Platinum-Diamond-Sunburst-Halo-Prong-Ring-360830</t>
  </si>
  <si>
    <t>/The-Aileen-Diamond-Halo-Engagement-Ring-Setting-is-made-in-14-Karat-Rose-Gold-362062</t>
  </si>
  <si>
    <t>/Thin-0.16-Carat-Diamond-Platinum-Engagement-Ring-Mounting-367237</t>
  </si>
  <si>
    <t>/Beautiful-Emerald-and-Diamond-Halo-Ring-050504</t>
  </si>
  <si>
    <t>/Wondrous-Pear-Shaped-Pink-Morganite-Diamond-Halo-18K-Rose-Gold-Fashion-Ring-050633</t>
  </si>
  <si>
    <t>/18-14K-Yellow-Gold-1.5mm-Oval-DC-Link-Chain-141016</t>
  </si>
  <si>
    <t>/Bezel-Set-Diamond-Pendant-120698</t>
  </si>
  <si>
    <t>/Platinum-Diamond-Bar-Style-Pendant-120782</t>
  </si>
  <si>
    <t>/Stunning-Emerald-And-Diamond-Necklace-In-18-Karat-White-Gold-130762</t>
  </si>
  <si>
    <t>/Japanese-Akoya-Pearl-Strand-224165</t>
  </si>
  <si>
    <t>/2mm-Platinum-Comfort-Fit-Wedding-Band-080102</t>
  </si>
  <si>
    <t>/4.5mm-Platinum-Wedding-Band-101001</t>
  </si>
  <si>
    <t>/6mm-18k-Yellow-Gold-Euro-Style-Mens-Wedding-Band-108618</t>
  </si>
  <si>
    <t>/Azure-Platinum-Eternity-Shared-Prong-Ring-071177</t>
  </si>
  <si>
    <t>/Clever-Hidden-Shared-Prong-Diamond-Wedding-Band-071530</t>
  </si>
  <si>
    <t>/Micro-Prong-Set-Diamond-Wedding-Band-071254</t>
  </si>
  <si>
    <t>/Platinum-Channel-Set-Princess-Cut-Diamond-Wedding-Band-072478</t>
  </si>
  <si>
    <t>/Platinum-Curved-Fit-Diamond-Wedding-Band-070196</t>
  </si>
  <si>
    <t>/14kt-White-Gold-Round-and-Marquise-Shape-Diamond-Wedding-Band-071399</t>
  </si>
  <si>
    <t>/Thin-Platinum-2.2mm-Shared-Prong-Diamond-Wedding-Band-070317</t>
  </si>
  <si>
    <t>/search?keywords=emerald</t>
  </si>
  <si>
    <t>/search?keywords=cross</t>
  </si>
  <si>
    <t>/fine-jewelry/necklaces/precious-metal-necklaces-pendants</t>
  </si>
  <si>
    <t>/search?sub-group=Wedding-Guest-Jewelry</t>
  </si>
  <si>
    <t>/blog/which-engagement-ring-rocks-your-world</t>
  </si>
  <si>
    <t>/asscher-cut-diamond</t>
  </si>
  <si>
    <t>/Round-Cut-Diamond</t>
  </si>
  <si>
    <t>/blog/the-ultimate-diamond-cleaning-care-guide</t>
  </si>
  <si>
    <t>/Lyria-Leaves-Wedding-Band-From-The-Movie-The-Vow-18kt-White-Gold-110111</t>
  </si>
  <si>
    <t>/14K-Rose-Gold-Curved-Bangle-Bracelet-181147R</t>
  </si>
  <si>
    <t>/14k-White-Gold-Alternating-Bar-DIamond-Bracelet-188626</t>
  </si>
  <si>
    <t>/14kt-Curved-Design-Rose-Gold-Diamond-Stacking-Bracelet-181137R</t>
  </si>
  <si>
    <t>/14kt-White-Gold-Diamond-Cross-Bracelet-185312</t>
  </si>
  <si>
    <t>/18k-Yellow-Gold-Curved-Bar-Diamond-Bracelet-188621</t>
  </si>
  <si>
    <t>/2.02-Carat-Diamond-14K-Yellow-Gold-Bangle-Bracelet-181106</t>
  </si>
  <si>
    <t>/14k-White-Gold-Diamond-Huggies-150938</t>
  </si>
  <si>
    <t>/14k-Yellow-Gold-Carla-Nancy-B-Hinged-Hoop-Polished-179000</t>
  </si>
  <si>
    <t>/fine-jewelry/earrings/gemstone-earrings?gemstone-type=Sapphire</t>
  </si>
  <si>
    <t>/Diamond-Prong-Set-Hoop-Earrings-151129</t>
  </si>
  <si>
    <t>/Sapphire-and-Diamond-Drop-Earrings-168133-Cab</t>
  </si>
  <si>
    <t>/0.34-Carat-Hidden-Halo-Diamond-Platinum-Engagement-Ring-Mounting-361304</t>
  </si>
  <si>
    <t>/14kt-White-Gold-4-Prong-Ring-Mtg-for-1ct-390441</t>
  </si>
  <si>
    <t>/18-Karat-White-Gold-Kimmie-2-Piece-Engagement-Ring-Mounting-and-Matching-Band-360998</t>
  </si>
  <si>
    <t>/18k-White-Gold-Expressive-Antique-Style-Engagement-Ring-Setting-362323</t>
  </si>
  <si>
    <t>/18kt-Rose-Gold-Ella-Split-Prong-Diamond-Engagement-Ring-Setting-362127</t>
  </si>
  <si>
    <t>/18kt-Rose-Gold-Sophia-Style-Diamond-Engagement-Ring-Setting-362431</t>
  </si>
  <si>
    <t>/18kwg-4-Prong-Eng.-Sett-for-X-38rbc.40-362338</t>
  </si>
  <si>
    <t>/18KY-Prin-Cuts-Chan-Set-Eng-Mtg-14X.70cttw-362434</t>
  </si>
  <si>
    <t>/Adeline-Timeless-Platinum-Solitaire-Crown-Head-Engagement-Mounting-390243</t>
  </si>
  <si>
    <t>/Alternating-0.23-Carat-Diamond-14K-White-Gold-Round-Marquise-Shaped-Beaded-Engagement-Ring-Setting-3</t>
  </si>
  <si>
    <t>/Arista-Platinum-Solitaire-Engagement-Ring-Setting-Medium-391425</t>
  </si>
  <si>
    <t>/Channel-Set-Diamond-Platinum-Engagement-Setting-365293</t>
  </si>
  <si>
    <t>/Best-Kept-Secret-Hidden-Halo-Diamond-Engagement-Ring-Setting-362480</t>
  </si>
  <si>
    <t>/Braided-Yellow-Gold-Solitaire-Setting-390340</t>
  </si>
  <si>
    <t>/Five-Stone-4.51-Carat-Diamond-Platinum-Engagement-Ring-011318</t>
  </si>
  <si>
    <t>/Half-Dome-Pave-Diamond-Engagement-Ring-Setting-366348</t>
  </si>
  <si>
    <t>/Madeline-Diamond-Halo-Split-Prong-Engagement-Ring-Setting-362098</t>
  </si>
  <si>
    <t>/Oval-Halo-Braided-Eng.-Mtg.-440.28-F-VS-366404</t>
  </si>
  <si>
    <t>/Plat-2-Row-46R46-Lucy-360482</t>
  </si>
  <si>
    <t>/Plat-30-RD0.75-FG-VS-367143</t>
  </si>
  <si>
    <t>/Plat.-Spectacular-Pave-Set-Diamond-Engagement-Mounting-366701</t>
  </si>
  <si>
    <t>/Platinum-Brooke-antique-inspired-engraved-cathedral-style-engagement-ring-setting-369916</t>
  </si>
  <si>
    <t>/Platinum-Channel-Set-Diamond-Engagement-Ring-4-Prong-Setting-360484</t>
  </si>
  <si>
    <t>/Platinum-Solitaire-Engagement-Ring-Setting-390178</t>
  </si>
  <si>
    <t>/Platinum-Sophia-Diamond-Engagement-Ring-Setting-366896</t>
  </si>
  <si>
    <t>/Platinum-Sophia-Style-Diamond-Engagement-Ring-Setting-369908</t>
  </si>
  <si>
    <t>/Platinum-Split-prong-Diamond-Engagement-Ring-Setting-367238</t>
  </si>
  <si>
    <t>/Precious-Cushion-Cut-Pave-Engagement-Ring-01-50739</t>
  </si>
  <si>
    <t>/Seven-Stone-Diamond-Platinum-Engagement-Ring-Mounting-365573</t>
  </si>
  <si>
    <t>/Split-Shank-0.22-Carat-Diamond-Platinum-Engagement-Setting-362547</t>
  </si>
  <si>
    <t>/Split-Shank-Three-Stone-Diamond-Engagement-Ring-011235</t>
  </si>
  <si>
    <t>/Thin-Rounded-Rose-Gold-Solitaire-Engagement-Ring-Setting-390251</t>
  </si>
  <si>
    <t>/Three-Stone-0.34-Carat-Pear-Shaped-Diamond-Platinum-Engagement-Ring-Mounting-362631</t>
  </si>
  <si>
    <t>/Tulip-Platinum-Head-18K-Yellow-Gold-Engagement-Ring-Setting-392846</t>
  </si>
  <si>
    <t>/Platinum-Emerald-Cut-Ruby-Ring-050452</t>
  </si>
  <si>
    <t>/Ros-1.98-Carat-Rubellite-0.48-Carat-18K-Rose-Gold-Halo-Ring-050435</t>
  </si>
  <si>
    <t>/Sunny-1.29-Carat-Yellow-Sapphire-0.35-Carat-Diamond-Platinum-Square-Cut-Halo-Ring-050592</t>
  </si>
  <si>
    <t>/18-Inch-14K-White-Gold-Cable-Chain-with-Lobster-Clasp-230072</t>
  </si>
  <si>
    <t>/7.38-Carat-Diamond-14K-White-Gold-Tennis-Necklace-120997</t>
  </si>
  <si>
    <t>/Bezel-Set-Diamond-Pendant-120128</t>
  </si>
  <si>
    <t>/Eleven-Stone-0.50-Carat-Diamond-14K-White-Gold-Drop-Pendant-120959</t>
  </si>
  <si>
    <t>/Floating-Halo-0.40-Carat-Diamond-14K-White-Gold-Pear-Shaped-Pendant-120865</t>
  </si>
  <si>
    <t>/Heavy-Sterling-Silver-Round-Cable-Chain-Necklace-230286</t>
  </si>
  <si>
    <t>/Magnetic-Multi-Layer-Yellow-Silver-Ball-Chain-18-Necklace-141030</t>
  </si>
  <si>
    <t>/Nine-Stone-0.45-Carat-Diamond-Drop-Platinum-Bar-Pendant-121000</t>
  </si>
  <si>
    <t>/Open-Circle-1.10-Carat-Diamond-Platinum-Pendant-120506</t>
  </si>
  <si>
    <t>/Platinum-channel-set-eternity-diamond-pendant-120680</t>
  </si>
  <si>
    <t>/Platinum-Icicle-Pendant-60.96-G-SI-120609</t>
  </si>
  <si>
    <t>/The-Iclyn-Slighty-Curved-Seven-Round-Brillant-Diamond-Shared-Prong-Necklace-120637</t>
  </si>
  <si>
    <t>/Three-to-One-Hollow-14K-Yellow-Gold-Figaro-Chain-Necklace-230548</t>
  </si>
  <si>
    <t>/14kt-Yellow-Gold-9-10mm-AA-Freshwater-Pearl-Twist-Ring-220402</t>
  </si>
  <si>
    <t>/Entrancing-Thirteen-6.5mm-Pearl-14K-Yellow-Gold-Bracelet-220514</t>
  </si>
  <si>
    <t>/14k-Rose-Gold-Diamond-Bead-Set-Bead-Set-Womens-Wedding-Ring-071263</t>
  </si>
  <si>
    <t>/14kt-Bezel-Set-Diamond-Wedding-Band-with-Wave-Milgrain-Design-071407</t>
  </si>
  <si>
    <t>/14kt-White-Gold-beautiful-shared-prong-curved-diamond-wedding-band-071404?page=1</t>
  </si>
  <si>
    <t>/14kt-Yellow-Gold-6mm-High-Polish-Wedding-Band-With-Ribbed-Edges-090197</t>
  </si>
  <si>
    <t>/18K-Yellow-Gold-Euro-Fit-Wedding-Band-101110</t>
  </si>
  <si>
    <t>/18K-Yellow-Gold-Half-Round-Spacer-Ring-080260</t>
  </si>
  <si>
    <t>/6.5mm-Platinum-Euro-Style-Mens-Wedding-Band-100618</t>
  </si>
  <si>
    <t>/6mm-Platinum-Milgrain-Edged-Mens-Wedding-Band-090781</t>
  </si>
  <si>
    <t>/7mm-Slight-Bevel-All-Satin-Platinum-Wedding-Band-090996</t>
  </si>
  <si>
    <t>/8mm-Platinum-Brushed-Center-Beveled-Edge-Mens-Wedding-Band-090812</t>
  </si>
  <si>
    <t>/8mm-Platinum-Satin-Center-Mens-Wedding-Band-090399</t>
  </si>
  <si>
    <t>/Antique-Geometric-Shaped-18K-Yellow-Gold-Diamond-Wedding-Band-079366</t>
  </si>
  <si>
    <t>/Dainty-0.15-Carat-Diamond-18K-White-Gold-Micro-Pave-Wedding-Band-071500</t>
  </si>
  <si>
    <t>/Fine-Satin-Center-Polished-Edges-14K-Yellow-Gold-Band-090051</t>
  </si>
  <si>
    <t>/Five-Stone-1.80-Carat-Diamond-Platinum-Wedding-Band-072611</t>
  </si>
  <si>
    <t>/Floating-0.85-Carat-Diamond-14K-White-Gold-Insert-Band-071788</t>
  </si>
  <si>
    <t>/Hammered-Satin-Center-Polished-Channel-Edge-14K-White-Gold-Mens-Wedding-Band-091945</t>
  </si>
  <si>
    <t>/Hidden-Diamond-Squared-18K-Yellow-Gold-Wedding-Band-071395</t>
  </si>
  <si>
    <t>/Multi-Row-Alternating-Diamond-18K-White-Gold-Wide-Fashion-Ring-071378</t>
  </si>
  <si>
    <t>/Plat-Channel-Set-Square-Cut-Baguette-Diamond-Wedding-Band-079489</t>
  </si>
  <si>
    <t>/Platinum-Bar-Set-Diamond-Wedding-Band-072564</t>
  </si>
  <si>
    <t>/Platinum-Bead-Set-Channel-Style-Wedding-Band-070258</t>
  </si>
  <si>
    <t>/Platinum-Channel-Set-Princess-Cut-Antique-Style-Diamond-Wedding-Band-071426</t>
  </si>
  <si>
    <t>/Platinum-Channel-Set-Princess-Diamond-Wedding-Band-073102</t>
  </si>
  <si>
    <t>/Platinum-Diamond-Eternity-Band-w-Milgrain-070450</t>
  </si>
  <si>
    <t>/Platinum-Shared-Prong-0.78-Carat-Diamond-Wedding-Band-071489</t>
  </si>
  <si>
    <t>/Platinum-Shared-Prong-Eternity-Diamond-Wedding-Band-072584</t>
  </si>
  <si>
    <t>/Platinum-Sophia-Eternity-Semi-Bezel-Set-Diamond-Wedding-Band-079996</t>
  </si>
  <si>
    <t>/Platinum-Split-Prong-Diamond-Wedding-Band-070261</t>
  </si>
  <si>
    <t>/Platinum-Split-Prong-Diamond-Wedding-Band-073356</t>
  </si>
  <si>
    <t>/Prong-Set-Curved-Wedding-Band-079347</t>
  </si>
  <si>
    <t>/Stylish-Swirl-Finished-Platinum-Band-090999</t>
  </si>
  <si>
    <t>/Thin-Platinum-1.9mm-Shared-Prong-Diamond-Wedding-Band-0.24cts-070313</t>
  </si>
  <si>
    <t>/search?keywords=aquamarine</t>
  </si>
  <si>
    <t>/search?keywords=hidden%20halo</t>
  </si>
  <si>
    <t>/search?keywords=expressive</t>
  </si>
  <si>
    <t>/engagement-rings?collection=Three-Stone</t>
  </si>
  <si>
    <t>/fine-jewelry/earrings/gemstone-earrings</t>
  </si>
  <si>
    <t>/fine-jewelry/engagement-rings/solitaire</t>
  </si>
  <si>
    <t>/fine-jewelry/necklaces/chains?collection=Spiga&amp;metal=14KY</t>
  </si>
  <si>
    <t>/fine-jewelry/necklaces/gemstone-necklaces-pendants</t>
  </si>
  <si>
    <t>/diamond-anniversary-rings-and-bands</t>
  </si>
  <si>
    <t>/blog/celebrate-march-with-aquamarine</t>
  </si>
  <si>
    <t>/blog/custom-jewelry-where-dreams-do-come-true</t>
  </si>
  <si>
    <t>/blog/how-is-an-engagement-ring-made</t>
  </si>
  <si>
    <t>/blog/no-supply-chain-worries-at-washington-diamond</t>
  </si>
  <si>
    <t>301 &gt; 200</t>
  </si>
  <si>
    <t>301 &gt; 404</t>
  </si>
  <si>
    <t>302 &gt;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</si>
</sst>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8" x14ac:knownFonts="1">
    <font>
      <sz val="11"/>
      <color theme="1"/>
      <name val="Calibri"/>
      <scheme val="minor"/>
    </font>
    <font>
      <sz val="10"/>
      <color theme="1"/>
      <name val="Arial"/>
    </font>
    <font>
      <sz val="12"/>
      <color rgb="FF9CC2E5"/>
      <name val="Arial"/>
    </font>
    <font>
      <b/>
      <sz val="28"/>
      <color theme="0"/>
      <name val="Arial"/>
    </font>
    <font>
      <sz val="10"/>
      <color theme="0"/>
      <name val="Arial"/>
    </font>
    <font>
      <b/>
      <sz val="10"/>
      <color rgb="FF9CC2E5"/>
      <name val="Arial"/>
    </font>
    <font>
      <b/>
      <sz val="10"/>
      <color theme="0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0C0C0C"/>
        <bgColor rgb="FF0C0C0C"/>
      </patternFill>
    </fill>
    <fill>
      <patternFill patternType="solid">
        <fgColor rgb="FF262626"/>
        <bgColor rgb="FF26262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" fillId="4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2E75B5"/>
          <bgColor rgb="FF2E75B5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2E75B5"/>
          <bgColor rgb="FF2E75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7"/>
  <sheetViews>
    <sheetView workbookViewId="0"/>
  </sheetViews>
  <sheetFormatPr defaultColWidth="14.453125" defaultRowHeight="15" customHeight="1" x14ac:dyDescent="0.35"/>
  <cols>
    <col min="1" max="1" width="2.54296875" customWidth="1"/>
    <col min="2" max="2" width="10.08984375" customWidth="1"/>
    <col min="3" max="3" width="2.54296875" customWidth="1"/>
    <col min="4" max="4" width="50.54296875" customWidth="1"/>
    <col min="5" max="5" width="15.54296875" customWidth="1"/>
    <col min="6" max="6" width="12.54296875" customWidth="1"/>
    <col min="7" max="7" width="35.54296875" customWidth="1"/>
    <col min="8" max="26" width="9.08984375" customWidth="1"/>
  </cols>
  <sheetData>
    <row r="1" spans="1:26" ht="6" customHeight="1" x14ac:dyDescent="0.35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1"/>
      <c r="B2" s="3" t="s">
        <v>0</v>
      </c>
      <c r="C2" s="3"/>
      <c r="D2" s="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 x14ac:dyDescent="0.35">
      <c r="A3" s="1"/>
      <c r="B3" s="4" t="s">
        <v>1</v>
      </c>
      <c r="C3" s="4"/>
      <c r="D3" s="1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 x14ac:dyDescent="0.35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5"/>
      <c r="B5" s="5"/>
      <c r="C5" s="6"/>
      <c r="D5" s="7" t="s">
        <v>2</v>
      </c>
      <c r="E5" s="8" t="s">
        <v>3</v>
      </c>
      <c r="F5" s="9"/>
      <c r="G5" s="10"/>
      <c r="H5" s="10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5.5" customHeight="1" x14ac:dyDescent="0.35">
      <c r="A6" s="5"/>
      <c r="B6" s="5"/>
      <c r="C6" s="6"/>
      <c r="D6" s="10" t="s">
        <v>4</v>
      </c>
      <c r="E6" s="11">
        <v>95221</v>
      </c>
      <c r="F6" s="9"/>
      <c r="G6" s="10"/>
      <c r="H6" s="1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5">
      <c r="A7" s="5"/>
      <c r="B7" s="12"/>
      <c r="C7" s="11"/>
      <c r="D7" s="6"/>
      <c r="E7" s="11"/>
      <c r="F7" s="1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35">
      <c r="A8" s="14"/>
      <c r="B8" s="15" t="s">
        <v>5</v>
      </c>
      <c r="C8" s="16"/>
      <c r="D8" s="7" t="s">
        <v>6</v>
      </c>
      <c r="E8" s="8" t="s">
        <v>7</v>
      </c>
      <c r="F8" s="8" t="s">
        <v>8</v>
      </c>
      <c r="G8" s="7" t="s">
        <v>9</v>
      </c>
      <c r="H8" s="10"/>
      <c r="I8" s="1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5.5" customHeight="1" x14ac:dyDescent="0.35">
      <c r="A9" s="5"/>
      <c r="B9" s="18">
        <f>IF(MOD(ROW()-8,1)=0,SUM($E$9:E9) /$E$6)</f>
        <v>0.91789626237909705</v>
      </c>
      <c r="C9" s="6"/>
      <c r="D9" s="6" t="s">
        <v>10</v>
      </c>
      <c r="E9" s="11">
        <v>87403</v>
      </c>
      <c r="F9" s="19">
        <f t="shared" ref="F9:F263" si="0">E9/$E$6</f>
        <v>0.91789626237909705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5.5" customHeight="1" x14ac:dyDescent="0.35">
      <c r="A10" s="5"/>
      <c r="B10" s="20"/>
      <c r="C10" s="6"/>
      <c r="D10" s="6" t="s">
        <v>11</v>
      </c>
      <c r="E10" s="11">
        <v>3358</v>
      </c>
      <c r="F10" s="19">
        <f t="shared" si="0"/>
        <v>3.5265330126757755E-2</v>
      </c>
      <c r="G10" s="6" t="s">
        <v>12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5" customHeight="1" x14ac:dyDescent="0.35">
      <c r="A11" s="5"/>
      <c r="B11" s="20"/>
      <c r="C11" s="6"/>
      <c r="D11" s="6" t="s">
        <v>13</v>
      </c>
      <c r="E11" s="11">
        <v>370</v>
      </c>
      <c r="F11" s="19">
        <f t="shared" si="0"/>
        <v>3.8856974826981445E-3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customHeight="1" x14ac:dyDescent="0.35">
      <c r="A12" s="5"/>
      <c r="B12" s="20"/>
      <c r="C12" s="6"/>
      <c r="D12" s="6" t="s">
        <v>14</v>
      </c>
      <c r="E12" s="11">
        <v>137</v>
      </c>
      <c r="F12" s="19">
        <f t="shared" si="0"/>
        <v>1.4387582571071507E-3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customHeight="1" x14ac:dyDescent="0.35">
      <c r="A13" s="5"/>
      <c r="B13" s="20"/>
      <c r="C13" s="6"/>
      <c r="D13" s="6" t="s">
        <v>15</v>
      </c>
      <c r="E13" s="11">
        <v>100</v>
      </c>
      <c r="F13" s="19">
        <f t="shared" si="0"/>
        <v>1.0501885088373363E-3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customHeight="1" x14ac:dyDescent="0.35">
      <c r="A14" s="5"/>
      <c r="B14" s="20"/>
      <c r="C14" s="6"/>
      <c r="D14" s="6" t="s">
        <v>16</v>
      </c>
      <c r="E14" s="11">
        <v>89</v>
      </c>
      <c r="F14" s="19">
        <f t="shared" si="0"/>
        <v>9.3466777286522931E-4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5">
      <c r="A15" s="5"/>
      <c r="B15" s="20"/>
      <c r="C15" s="6"/>
      <c r="D15" s="6" t="s">
        <v>17</v>
      </c>
      <c r="E15" s="11">
        <v>86</v>
      </c>
      <c r="F15" s="19">
        <f t="shared" si="0"/>
        <v>9.0316211760010923E-4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 x14ac:dyDescent="0.35">
      <c r="A16" s="5"/>
      <c r="B16" s="20"/>
      <c r="C16" s="6"/>
      <c r="D16" s="6" t="s">
        <v>18</v>
      </c>
      <c r="E16" s="11">
        <v>85</v>
      </c>
      <c r="F16" s="19">
        <f t="shared" si="0"/>
        <v>8.9266023251173587E-4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customHeight="1" x14ac:dyDescent="0.35">
      <c r="A17" s="5"/>
      <c r="B17" s="20"/>
      <c r="C17" s="6"/>
      <c r="D17" s="6" t="s">
        <v>19</v>
      </c>
      <c r="E17" s="11">
        <v>78</v>
      </c>
      <c r="F17" s="19">
        <f t="shared" si="0"/>
        <v>8.1914703689312234E-4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5"/>
      <c r="B18" s="20"/>
      <c r="C18" s="6"/>
      <c r="D18" s="6" t="s">
        <v>20</v>
      </c>
      <c r="E18" s="11">
        <v>77</v>
      </c>
      <c r="F18" s="19">
        <f t="shared" si="0"/>
        <v>8.0864515180474898E-4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5.5" customHeight="1" x14ac:dyDescent="0.35">
      <c r="A19" s="5"/>
      <c r="B19" s="20"/>
      <c r="C19" s="6"/>
      <c r="D19" s="6" t="s">
        <v>21</v>
      </c>
      <c r="E19" s="11">
        <v>68</v>
      </c>
      <c r="F19" s="19">
        <f t="shared" si="0"/>
        <v>7.1412818600938874E-4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5.5" customHeight="1" x14ac:dyDescent="0.35">
      <c r="A20" s="5"/>
      <c r="B20" s="20"/>
      <c r="C20" s="6"/>
      <c r="D20" s="6" t="s">
        <v>22</v>
      </c>
      <c r="E20" s="11">
        <v>62</v>
      </c>
      <c r="F20" s="19">
        <f t="shared" si="0"/>
        <v>6.5111687547914846E-4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5.5" customHeight="1" x14ac:dyDescent="0.35">
      <c r="A21" s="5"/>
      <c r="B21" s="20"/>
      <c r="C21" s="6"/>
      <c r="D21" s="6" t="s">
        <v>23</v>
      </c>
      <c r="E21" s="11">
        <v>59</v>
      </c>
      <c r="F21" s="19">
        <f t="shared" si="0"/>
        <v>6.1961122021402838E-4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5.5" customHeight="1" x14ac:dyDescent="0.35">
      <c r="A22" s="5"/>
      <c r="B22" s="20"/>
      <c r="C22" s="6"/>
      <c r="D22" s="6" t="s">
        <v>24</v>
      </c>
      <c r="E22" s="11">
        <v>57</v>
      </c>
      <c r="F22" s="19">
        <f t="shared" si="0"/>
        <v>5.9860745003728166E-4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5.5" customHeight="1" x14ac:dyDescent="0.35">
      <c r="A23" s="5"/>
      <c r="B23" s="20"/>
      <c r="C23" s="6"/>
      <c r="D23" s="6" t="s">
        <v>25</v>
      </c>
      <c r="E23" s="11">
        <v>50</v>
      </c>
      <c r="F23" s="19">
        <f t="shared" si="0"/>
        <v>5.2509425441866814E-4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5.5" customHeight="1" x14ac:dyDescent="0.35">
      <c r="A24" s="5"/>
      <c r="B24" s="20"/>
      <c r="C24" s="6"/>
      <c r="D24" s="6" t="s">
        <v>26</v>
      </c>
      <c r="E24" s="11">
        <v>48</v>
      </c>
      <c r="F24" s="19">
        <f t="shared" si="0"/>
        <v>5.0409048424192142E-4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5.5" customHeight="1" x14ac:dyDescent="0.35">
      <c r="A25" s="5"/>
      <c r="B25" s="20"/>
      <c r="C25" s="6"/>
      <c r="D25" s="6" t="s">
        <v>27</v>
      </c>
      <c r="E25" s="11">
        <v>45</v>
      </c>
      <c r="F25" s="19">
        <f t="shared" si="0"/>
        <v>4.7258482897680133E-4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5.5" customHeight="1" x14ac:dyDescent="0.35">
      <c r="A26" s="5"/>
      <c r="B26" s="20"/>
      <c r="C26" s="6"/>
      <c r="D26" s="6" t="s">
        <v>28</v>
      </c>
      <c r="E26" s="11">
        <v>45</v>
      </c>
      <c r="F26" s="19">
        <f t="shared" si="0"/>
        <v>4.7258482897680133E-4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35">
      <c r="A27" s="5"/>
      <c r="B27" s="20"/>
      <c r="C27" s="6"/>
      <c r="D27" s="6" t="s">
        <v>29</v>
      </c>
      <c r="E27" s="11">
        <v>44</v>
      </c>
      <c r="F27" s="19">
        <f t="shared" si="0"/>
        <v>4.6208294388842797E-4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5.5" customHeight="1" x14ac:dyDescent="0.35">
      <c r="A28" s="5"/>
      <c r="B28" s="20"/>
      <c r="C28" s="6"/>
      <c r="D28" s="6" t="s">
        <v>30</v>
      </c>
      <c r="E28" s="11">
        <v>39</v>
      </c>
      <c r="F28" s="19">
        <f t="shared" si="0"/>
        <v>4.0957351844656117E-4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 x14ac:dyDescent="0.35">
      <c r="A29" s="5"/>
      <c r="B29" s="20"/>
      <c r="C29" s="6"/>
      <c r="D29" s="6" t="s">
        <v>31</v>
      </c>
      <c r="E29" s="11">
        <v>37</v>
      </c>
      <c r="F29" s="19">
        <f t="shared" si="0"/>
        <v>3.8856974826981445E-4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 x14ac:dyDescent="0.35">
      <c r="A30" s="5"/>
      <c r="B30" s="20"/>
      <c r="C30" s="6"/>
      <c r="D30" s="6" t="s">
        <v>32</v>
      </c>
      <c r="E30" s="11">
        <v>34</v>
      </c>
      <c r="F30" s="19">
        <f t="shared" si="0"/>
        <v>3.5706409300469437E-4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 x14ac:dyDescent="0.35">
      <c r="A31" s="5"/>
      <c r="B31" s="20"/>
      <c r="C31" s="6"/>
      <c r="D31" s="6" t="s">
        <v>33</v>
      </c>
      <c r="E31" s="11">
        <v>34</v>
      </c>
      <c r="F31" s="19">
        <f t="shared" si="0"/>
        <v>3.5706409300469437E-4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 x14ac:dyDescent="0.35">
      <c r="A32" s="5"/>
      <c r="B32" s="20"/>
      <c r="C32" s="6"/>
      <c r="D32" s="6" t="s">
        <v>34</v>
      </c>
      <c r="E32" s="11">
        <v>33</v>
      </c>
      <c r="F32" s="19">
        <f t="shared" si="0"/>
        <v>3.4656220791632095E-4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5.5" customHeight="1" x14ac:dyDescent="0.35">
      <c r="A33" s="5"/>
      <c r="B33" s="20"/>
      <c r="C33" s="6"/>
      <c r="D33" s="6" t="s">
        <v>35</v>
      </c>
      <c r="E33" s="11">
        <v>28</v>
      </c>
      <c r="F33" s="19">
        <f t="shared" si="0"/>
        <v>2.9405278247445415E-4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5.5" customHeight="1" x14ac:dyDescent="0.35">
      <c r="A34" s="5"/>
      <c r="B34" s="20"/>
      <c r="C34" s="6"/>
      <c r="D34" s="6" t="s">
        <v>36</v>
      </c>
      <c r="E34" s="11">
        <v>28</v>
      </c>
      <c r="F34" s="19">
        <f t="shared" si="0"/>
        <v>2.9405278247445415E-4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5.5" customHeight="1" x14ac:dyDescent="0.35">
      <c r="A35" s="5"/>
      <c r="B35" s="20"/>
      <c r="C35" s="6"/>
      <c r="D35" s="6" t="s">
        <v>37</v>
      </c>
      <c r="E35" s="11">
        <v>27</v>
      </c>
      <c r="F35" s="19">
        <f t="shared" si="0"/>
        <v>2.8355089738608079E-4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5.5" customHeight="1" x14ac:dyDescent="0.35">
      <c r="A36" s="5"/>
      <c r="B36" s="20"/>
      <c r="C36" s="6"/>
      <c r="D36" s="6" t="s">
        <v>38</v>
      </c>
      <c r="E36" s="11">
        <v>27</v>
      </c>
      <c r="F36" s="19">
        <f t="shared" si="0"/>
        <v>2.8355089738608079E-4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5.5" customHeight="1" x14ac:dyDescent="0.35">
      <c r="A37" s="5"/>
      <c r="B37" s="20"/>
      <c r="C37" s="6"/>
      <c r="D37" s="6" t="s">
        <v>39</v>
      </c>
      <c r="E37" s="11">
        <v>25</v>
      </c>
      <c r="F37" s="19">
        <f t="shared" si="0"/>
        <v>2.6254712720933407E-4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5.5" customHeight="1" x14ac:dyDescent="0.35">
      <c r="A38" s="5"/>
      <c r="B38" s="20"/>
      <c r="C38" s="6"/>
      <c r="D38" s="6" t="s">
        <v>40</v>
      </c>
      <c r="E38" s="11">
        <v>23</v>
      </c>
      <c r="F38" s="19">
        <f t="shared" si="0"/>
        <v>2.4154335703258735E-4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5.5" customHeight="1" x14ac:dyDescent="0.35">
      <c r="A39" s="5"/>
      <c r="B39" s="20"/>
      <c r="C39" s="6"/>
      <c r="D39" s="6" t="s">
        <v>41</v>
      </c>
      <c r="E39" s="11">
        <v>22</v>
      </c>
      <c r="F39" s="19">
        <f t="shared" si="0"/>
        <v>2.3104147194421399E-4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5.5" customHeight="1" x14ac:dyDescent="0.35">
      <c r="A40" s="5"/>
      <c r="B40" s="20"/>
      <c r="C40" s="6"/>
      <c r="D40" s="6" t="s">
        <v>42</v>
      </c>
      <c r="E40" s="11">
        <v>21</v>
      </c>
      <c r="F40" s="19">
        <f t="shared" si="0"/>
        <v>2.2053958685584063E-4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5.5" customHeight="1" x14ac:dyDescent="0.35">
      <c r="A41" s="5"/>
      <c r="B41" s="20"/>
      <c r="C41" s="6"/>
      <c r="D41" s="6" t="s">
        <v>43</v>
      </c>
      <c r="E41" s="11">
        <v>21</v>
      </c>
      <c r="F41" s="19">
        <f t="shared" si="0"/>
        <v>2.2053958685584063E-4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5.5" customHeight="1" x14ac:dyDescent="0.35">
      <c r="A42" s="5"/>
      <c r="B42" s="20"/>
      <c r="C42" s="6"/>
      <c r="D42" s="6" t="s">
        <v>44</v>
      </c>
      <c r="E42" s="11">
        <v>21</v>
      </c>
      <c r="F42" s="19">
        <f t="shared" si="0"/>
        <v>2.2053958685584063E-4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5.5" customHeight="1" x14ac:dyDescent="0.35">
      <c r="A43" s="5"/>
      <c r="B43" s="20"/>
      <c r="C43" s="6"/>
      <c r="D43" s="6" t="s">
        <v>45</v>
      </c>
      <c r="E43" s="11">
        <v>21</v>
      </c>
      <c r="F43" s="19">
        <f t="shared" si="0"/>
        <v>2.2053958685584063E-4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5.5" customHeight="1" x14ac:dyDescent="0.35">
      <c r="A44" s="5"/>
      <c r="B44" s="20"/>
      <c r="C44" s="6"/>
      <c r="D44" s="6" t="s">
        <v>46</v>
      </c>
      <c r="E44" s="11">
        <v>20</v>
      </c>
      <c r="F44" s="19">
        <f t="shared" si="0"/>
        <v>2.1003770176746727E-4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5.5" customHeight="1" x14ac:dyDescent="0.35">
      <c r="A45" s="5"/>
      <c r="B45" s="20"/>
      <c r="C45" s="6"/>
      <c r="D45" s="6" t="s">
        <v>47</v>
      </c>
      <c r="E45" s="11">
        <v>20</v>
      </c>
      <c r="F45" s="19">
        <f t="shared" si="0"/>
        <v>2.1003770176746727E-4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5.5" customHeight="1" x14ac:dyDescent="0.35">
      <c r="A46" s="5"/>
      <c r="B46" s="20"/>
      <c r="C46" s="6"/>
      <c r="D46" s="6" t="s">
        <v>48</v>
      </c>
      <c r="E46" s="11">
        <v>20</v>
      </c>
      <c r="F46" s="19">
        <f t="shared" si="0"/>
        <v>2.1003770176746727E-4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5.5" customHeight="1" x14ac:dyDescent="0.35">
      <c r="A47" s="5"/>
      <c r="B47" s="20"/>
      <c r="C47" s="6"/>
      <c r="D47" s="6" t="s">
        <v>49</v>
      </c>
      <c r="E47" s="11">
        <v>19</v>
      </c>
      <c r="F47" s="19">
        <f t="shared" si="0"/>
        <v>1.9953581667909391E-4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5.5" customHeight="1" x14ac:dyDescent="0.35">
      <c r="A48" s="5"/>
      <c r="B48" s="20"/>
      <c r="C48" s="6"/>
      <c r="D48" s="6" t="s">
        <v>50</v>
      </c>
      <c r="E48" s="11">
        <v>19</v>
      </c>
      <c r="F48" s="19">
        <f t="shared" si="0"/>
        <v>1.9953581667909391E-4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5.5" customHeight="1" x14ac:dyDescent="0.35">
      <c r="A49" s="5"/>
      <c r="B49" s="20"/>
      <c r="C49" s="6"/>
      <c r="D49" s="6" t="s">
        <v>51</v>
      </c>
      <c r="E49" s="11">
        <v>19</v>
      </c>
      <c r="F49" s="19">
        <f t="shared" si="0"/>
        <v>1.9953581667909391E-4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5.5" customHeight="1" x14ac:dyDescent="0.35">
      <c r="A50" s="5"/>
      <c r="B50" s="20"/>
      <c r="C50" s="6"/>
      <c r="D50" s="6" t="s">
        <v>52</v>
      </c>
      <c r="E50" s="11">
        <v>18</v>
      </c>
      <c r="F50" s="19">
        <f t="shared" si="0"/>
        <v>1.8903393159072054E-4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5.5" customHeight="1" x14ac:dyDescent="0.35">
      <c r="A51" s="5"/>
      <c r="B51" s="20"/>
      <c r="C51" s="6"/>
      <c r="D51" s="6" t="s">
        <v>53</v>
      </c>
      <c r="E51" s="11">
        <v>18</v>
      </c>
      <c r="F51" s="19">
        <f t="shared" si="0"/>
        <v>1.8903393159072054E-4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5.5" customHeight="1" x14ac:dyDescent="0.35">
      <c r="A52" s="5"/>
      <c r="B52" s="20"/>
      <c r="C52" s="6"/>
      <c r="D52" s="6" t="s">
        <v>54</v>
      </c>
      <c r="E52" s="11">
        <v>17</v>
      </c>
      <c r="F52" s="19">
        <f t="shared" si="0"/>
        <v>1.7853204650234718E-4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5" customHeight="1" x14ac:dyDescent="0.35">
      <c r="A53" s="5"/>
      <c r="B53" s="20"/>
      <c r="C53" s="6"/>
      <c r="D53" s="6" t="s">
        <v>55</v>
      </c>
      <c r="E53" s="11">
        <v>17</v>
      </c>
      <c r="F53" s="19">
        <f t="shared" si="0"/>
        <v>1.7853204650234718E-4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5.5" customHeight="1" x14ac:dyDescent="0.35">
      <c r="A54" s="5"/>
      <c r="B54" s="20"/>
      <c r="C54" s="6"/>
      <c r="D54" s="6" t="s">
        <v>56</v>
      </c>
      <c r="E54" s="11">
        <v>17</v>
      </c>
      <c r="F54" s="19">
        <f t="shared" si="0"/>
        <v>1.7853204650234718E-4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5.5" customHeight="1" x14ac:dyDescent="0.35">
      <c r="A55" s="5"/>
      <c r="B55" s="20"/>
      <c r="C55" s="6"/>
      <c r="D55" s="6" t="s">
        <v>57</v>
      </c>
      <c r="E55" s="11">
        <v>16</v>
      </c>
      <c r="F55" s="19">
        <f t="shared" si="0"/>
        <v>1.680301614139738E-4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5.5" customHeight="1" x14ac:dyDescent="0.35">
      <c r="A56" s="5"/>
      <c r="B56" s="20"/>
      <c r="C56" s="6"/>
      <c r="D56" s="6" t="s">
        <v>58</v>
      </c>
      <c r="E56" s="11">
        <v>16</v>
      </c>
      <c r="F56" s="19">
        <f t="shared" si="0"/>
        <v>1.680301614139738E-4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5.5" customHeight="1" x14ac:dyDescent="0.35">
      <c r="A57" s="5"/>
      <c r="B57" s="20"/>
      <c r="C57" s="6"/>
      <c r="D57" s="6" t="s">
        <v>59</v>
      </c>
      <c r="E57" s="11">
        <v>15</v>
      </c>
      <c r="F57" s="19">
        <f t="shared" si="0"/>
        <v>1.5752827632560044E-4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5.5" customHeight="1" x14ac:dyDescent="0.35">
      <c r="A58" s="5"/>
      <c r="B58" s="20"/>
      <c r="C58" s="6"/>
      <c r="D58" s="6" t="s">
        <v>60</v>
      </c>
      <c r="E58" s="11">
        <v>15</v>
      </c>
      <c r="F58" s="19">
        <f t="shared" si="0"/>
        <v>1.5752827632560044E-4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5.5" customHeight="1" x14ac:dyDescent="0.35">
      <c r="A59" s="5"/>
      <c r="B59" s="20"/>
      <c r="C59" s="6"/>
      <c r="D59" s="6" t="s">
        <v>61</v>
      </c>
      <c r="E59" s="11">
        <v>15</v>
      </c>
      <c r="F59" s="19">
        <f t="shared" si="0"/>
        <v>1.5752827632560044E-4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5.5" customHeight="1" x14ac:dyDescent="0.35">
      <c r="A60" s="5"/>
      <c r="B60" s="20"/>
      <c r="C60" s="6"/>
      <c r="D60" s="6" t="s">
        <v>62</v>
      </c>
      <c r="E60" s="11">
        <v>15</v>
      </c>
      <c r="F60" s="19">
        <f t="shared" si="0"/>
        <v>1.5752827632560044E-4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5.5" customHeight="1" x14ac:dyDescent="0.35">
      <c r="A61" s="5"/>
      <c r="B61" s="20"/>
      <c r="C61" s="6"/>
      <c r="D61" s="6" t="s">
        <v>63</v>
      </c>
      <c r="E61" s="11">
        <v>15</v>
      </c>
      <c r="F61" s="19">
        <f t="shared" si="0"/>
        <v>1.5752827632560044E-4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5.5" customHeight="1" x14ac:dyDescent="0.35">
      <c r="A62" s="5"/>
      <c r="B62" s="20"/>
      <c r="C62" s="6"/>
      <c r="D62" s="6" t="s">
        <v>64</v>
      </c>
      <c r="E62" s="11">
        <v>15</v>
      </c>
      <c r="F62" s="19">
        <f t="shared" si="0"/>
        <v>1.5752827632560044E-4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5.5" customHeight="1" x14ac:dyDescent="0.35">
      <c r="A63" s="5"/>
      <c r="B63" s="20"/>
      <c r="C63" s="6"/>
      <c r="D63" s="6" t="s">
        <v>65</v>
      </c>
      <c r="E63" s="11">
        <v>14</v>
      </c>
      <c r="F63" s="19">
        <f t="shared" si="0"/>
        <v>1.4702639123722708E-4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5.5" customHeight="1" x14ac:dyDescent="0.35">
      <c r="A64" s="5"/>
      <c r="B64" s="20"/>
      <c r="C64" s="6"/>
      <c r="D64" s="6" t="s">
        <v>66</v>
      </c>
      <c r="E64" s="11">
        <v>14</v>
      </c>
      <c r="F64" s="19">
        <f t="shared" si="0"/>
        <v>1.4702639123722708E-4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5.5" customHeight="1" x14ac:dyDescent="0.35">
      <c r="A65" s="5"/>
      <c r="B65" s="20"/>
      <c r="C65" s="6"/>
      <c r="D65" s="6" t="s">
        <v>67</v>
      </c>
      <c r="E65" s="11">
        <v>14</v>
      </c>
      <c r="F65" s="19">
        <f t="shared" si="0"/>
        <v>1.4702639123722708E-4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5.5" customHeight="1" x14ac:dyDescent="0.35">
      <c r="A66" s="5"/>
      <c r="B66" s="20"/>
      <c r="C66" s="6"/>
      <c r="D66" s="6" t="s">
        <v>68</v>
      </c>
      <c r="E66" s="11">
        <v>14</v>
      </c>
      <c r="F66" s="19">
        <f t="shared" si="0"/>
        <v>1.4702639123722708E-4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5.5" customHeight="1" x14ac:dyDescent="0.35">
      <c r="A67" s="5"/>
      <c r="B67" s="20"/>
      <c r="C67" s="6"/>
      <c r="D67" s="6" t="s">
        <v>69</v>
      </c>
      <c r="E67" s="11">
        <v>14</v>
      </c>
      <c r="F67" s="19">
        <f t="shared" si="0"/>
        <v>1.4702639123722708E-4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5.5" customHeight="1" x14ac:dyDescent="0.35">
      <c r="A68" s="5"/>
      <c r="B68" s="20"/>
      <c r="C68" s="6"/>
      <c r="D68" s="6" t="s">
        <v>70</v>
      </c>
      <c r="E68" s="11">
        <v>13</v>
      </c>
      <c r="F68" s="19">
        <f t="shared" si="0"/>
        <v>1.3652450614885371E-4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5.5" customHeight="1" x14ac:dyDescent="0.35">
      <c r="A69" s="5"/>
      <c r="B69" s="20"/>
      <c r="C69" s="6"/>
      <c r="D69" s="6" t="s">
        <v>71</v>
      </c>
      <c r="E69" s="11">
        <v>13</v>
      </c>
      <c r="F69" s="19">
        <f t="shared" si="0"/>
        <v>1.3652450614885371E-4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5.5" customHeight="1" x14ac:dyDescent="0.35">
      <c r="A70" s="5"/>
      <c r="B70" s="20"/>
      <c r="C70" s="6"/>
      <c r="D70" s="6" t="s">
        <v>72</v>
      </c>
      <c r="E70" s="11">
        <v>13</v>
      </c>
      <c r="F70" s="19">
        <f t="shared" si="0"/>
        <v>1.3652450614885371E-4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5.5" customHeight="1" x14ac:dyDescent="0.35">
      <c r="A71" s="5"/>
      <c r="B71" s="20"/>
      <c r="C71" s="6"/>
      <c r="D71" s="6" t="s">
        <v>73</v>
      </c>
      <c r="E71" s="11">
        <v>13</v>
      </c>
      <c r="F71" s="19">
        <f t="shared" si="0"/>
        <v>1.3652450614885371E-4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5.5" customHeight="1" x14ac:dyDescent="0.35">
      <c r="A72" s="5"/>
      <c r="B72" s="20"/>
      <c r="C72" s="6"/>
      <c r="D72" s="6" t="s">
        <v>74</v>
      </c>
      <c r="E72" s="11">
        <v>13</v>
      </c>
      <c r="F72" s="19">
        <f t="shared" si="0"/>
        <v>1.3652450614885371E-4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5.5" customHeight="1" x14ac:dyDescent="0.35">
      <c r="A73" s="5"/>
      <c r="B73" s="20"/>
      <c r="C73" s="6"/>
      <c r="D73" s="6" t="s">
        <v>75</v>
      </c>
      <c r="E73" s="11">
        <v>12</v>
      </c>
      <c r="F73" s="19">
        <f t="shared" si="0"/>
        <v>1.2602262106048035E-4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5.5" customHeight="1" x14ac:dyDescent="0.35">
      <c r="A74" s="5"/>
      <c r="B74" s="20"/>
      <c r="C74" s="6"/>
      <c r="D74" s="6" t="s">
        <v>76</v>
      </c>
      <c r="E74" s="11">
        <v>12</v>
      </c>
      <c r="F74" s="19">
        <f t="shared" si="0"/>
        <v>1.2602262106048035E-4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5.5" customHeight="1" x14ac:dyDescent="0.35">
      <c r="A75" s="5"/>
      <c r="B75" s="20"/>
      <c r="C75" s="6"/>
      <c r="D75" s="6" t="s">
        <v>77</v>
      </c>
      <c r="E75" s="11">
        <v>12</v>
      </c>
      <c r="F75" s="19">
        <f t="shared" si="0"/>
        <v>1.2602262106048035E-4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5.5" customHeight="1" x14ac:dyDescent="0.35">
      <c r="A76" s="5"/>
      <c r="B76" s="20"/>
      <c r="C76" s="6"/>
      <c r="D76" s="6" t="s">
        <v>78</v>
      </c>
      <c r="E76" s="11">
        <v>12</v>
      </c>
      <c r="F76" s="19">
        <f t="shared" si="0"/>
        <v>1.2602262106048035E-4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5.5" customHeight="1" x14ac:dyDescent="0.35">
      <c r="A77" s="5"/>
      <c r="B77" s="20"/>
      <c r="C77" s="6"/>
      <c r="D77" s="6" t="s">
        <v>79</v>
      </c>
      <c r="E77" s="11">
        <v>12</v>
      </c>
      <c r="F77" s="19">
        <f t="shared" si="0"/>
        <v>1.2602262106048035E-4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5.5" customHeight="1" x14ac:dyDescent="0.35">
      <c r="A78" s="5"/>
      <c r="B78" s="20"/>
      <c r="C78" s="6"/>
      <c r="D78" s="6" t="s">
        <v>80</v>
      </c>
      <c r="E78" s="11">
        <v>12</v>
      </c>
      <c r="F78" s="19">
        <f t="shared" si="0"/>
        <v>1.2602262106048035E-4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5.5" customHeight="1" x14ac:dyDescent="0.35">
      <c r="A79" s="5"/>
      <c r="B79" s="20"/>
      <c r="C79" s="6"/>
      <c r="D79" s="6" t="s">
        <v>81</v>
      </c>
      <c r="E79" s="11">
        <v>12</v>
      </c>
      <c r="F79" s="19">
        <f t="shared" si="0"/>
        <v>1.2602262106048035E-4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5.5" customHeight="1" x14ac:dyDescent="0.35">
      <c r="A80" s="5"/>
      <c r="B80" s="20"/>
      <c r="C80" s="6"/>
      <c r="D80" s="6" t="s">
        <v>82</v>
      </c>
      <c r="E80" s="11">
        <v>11</v>
      </c>
      <c r="F80" s="19">
        <f t="shared" si="0"/>
        <v>1.1552073597210699E-4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5.5" customHeight="1" x14ac:dyDescent="0.35">
      <c r="A81" s="5"/>
      <c r="B81" s="20"/>
      <c r="C81" s="6"/>
      <c r="D81" s="6" t="s">
        <v>83</v>
      </c>
      <c r="E81" s="11">
        <v>11</v>
      </c>
      <c r="F81" s="19">
        <f t="shared" si="0"/>
        <v>1.1552073597210699E-4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5.5" customHeight="1" x14ac:dyDescent="0.35">
      <c r="A82" s="5"/>
      <c r="B82" s="20"/>
      <c r="C82" s="6"/>
      <c r="D82" s="6" t="s">
        <v>84</v>
      </c>
      <c r="E82" s="11">
        <v>11</v>
      </c>
      <c r="F82" s="19">
        <f t="shared" si="0"/>
        <v>1.1552073597210699E-4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5.5" customHeight="1" x14ac:dyDescent="0.35">
      <c r="A83" s="5"/>
      <c r="B83" s="20"/>
      <c r="C83" s="6"/>
      <c r="D83" s="6" t="s">
        <v>85</v>
      </c>
      <c r="E83" s="11">
        <v>11</v>
      </c>
      <c r="F83" s="19">
        <f t="shared" si="0"/>
        <v>1.1552073597210699E-4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5.5" customHeight="1" x14ac:dyDescent="0.35">
      <c r="A84" s="5"/>
      <c r="B84" s="20"/>
      <c r="C84" s="6"/>
      <c r="D84" s="6" t="s">
        <v>86</v>
      </c>
      <c r="E84" s="11">
        <v>11</v>
      </c>
      <c r="F84" s="19">
        <f t="shared" si="0"/>
        <v>1.1552073597210699E-4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5.5" customHeight="1" x14ac:dyDescent="0.35">
      <c r="A85" s="5"/>
      <c r="B85" s="20"/>
      <c r="C85" s="6"/>
      <c r="D85" s="6" t="s">
        <v>87</v>
      </c>
      <c r="E85" s="11">
        <v>10</v>
      </c>
      <c r="F85" s="19">
        <f t="shared" si="0"/>
        <v>1.0501885088373363E-4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5.5" customHeight="1" x14ac:dyDescent="0.35">
      <c r="A86" s="5"/>
      <c r="B86" s="20"/>
      <c r="C86" s="6"/>
      <c r="D86" s="6" t="s">
        <v>88</v>
      </c>
      <c r="E86" s="11">
        <v>10</v>
      </c>
      <c r="F86" s="19">
        <f t="shared" si="0"/>
        <v>1.0501885088373363E-4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5.5" customHeight="1" x14ac:dyDescent="0.35">
      <c r="A87" s="5"/>
      <c r="B87" s="20"/>
      <c r="C87" s="6"/>
      <c r="D87" s="6" t="s">
        <v>89</v>
      </c>
      <c r="E87" s="11">
        <v>10</v>
      </c>
      <c r="F87" s="19">
        <f t="shared" si="0"/>
        <v>1.0501885088373363E-4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5.5" customHeight="1" x14ac:dyDescent="0.35">
      <c r="A88" s="5"/>
      <c r="B88" s="20"/>
      <c r="C88" s="6"/>
      <c r="D88" s="6" t="s">
        <v>90</v>
      </c>
      <c r="E88" s="11">
        <v>10</v>
      </c>
      <c r="F88" s="19">
        <f t="shared" si="0"/>
        <v>1.0501885088373363E-4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5.5" customHeight="1" x14ac:dyDescent="0.35">
      <c r="A89" s="5"/>
      <c r="B89" s="20"/>
      <c r="C89" s="6"/>
      <c r="D89" s="6" t="s">
        <v>91</v>
      </c>
      <c r="E89" s="11">
        <v>10</v>
      </c>
      <c r="F89" s="19">
        <f t="shared" si="0"/>
        <v>1.0501885088373363E-4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5.5" customHeight="1" x14ac:dyDescent="0.35">
      <c r="A90" s="5"/>
      <c r="B90" s="20"/>
      <c r="C90" s="6"/>
      <c r="D90" s="6" t="s">
        <v>92</v>
      </c>
      <c r="E90" s="11">
        <v>10</v>
      </c>
      <c r="F90" s="19">
        <f t="shared" si="0"/>
        <v>1.0501885088373363E-4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5" customHeight="1" x14ac:dyDescent="0.35">
      <c r="A91" s="5"/>
      <c r="B91" s="20"/>
      <c r="C91" s="6"/>
      <c r="D91" s="6" t="s">
        <v>93</v>
      </c>
      <c r="E91" s="11">
        <v>10</v>
      </c>
      <c r="F91" s="19">
        <f t="shared" si="0"/>
        <v>1.0501885088373363E-4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5.5" customHeight="1" x14ac:dyDescent="0.35">
      <c r="A92" s="5"/>
      <c r="B92" s="20"/>
      <c r="C92" s="6"/>
      <c r="D92" s="6" t="s">
        <v>94</v>
      </c>
      <c r="E92" s="11">
        <v>9</v>
      </c>
      <c r="F92" s="19">
        <f t="shared" si="0"/>
        <v>9.4516965795360272E-5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5.5" customHeight="1" x14ac:dyDescent="0.35">
      <c r="A93" s="5"/>
      <c r="B93" s="20"/>
      <c r="C93" s="6"/>
      <c r="D93" s="6" t="s">
        <v>95</v>
      </c>
      <c r="E93" s="11">
        <v>9</v>
      </c>
      <c r="F93" s="19">
        <f t="shared" si="0"/>
        <v>9.4516965795360272E-5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5.5" customHeight="1" x14ac:dyDescent="0.35">
      <c r="A94" s="5"/>
      <c r="B94" s="20"/>
      <c r="C94" s="6"/>
      <c r="D94" s="6" t="s">
        <v>96</v>
      </c>
      <c r="E94" s="11">
        <v>9</v>
      </c>
      <c r="F94" s="19">
        <f t="shared" si="0"/>
        <v>9.4516965795360272E-5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5.5" customHeight="1" x14ac:dyDescent="0.35">
      <c r="A95" s="5"/>
      <c r="B95" s="20"/>
      <c r="C95" s="6"/>
      <c r="D95" s="6" t="s">
        <v>97</v>
      </c>
      <c r="E95" s="11">
        <v>9</v>
      </c>
      <c r="F95" s="19">
        <f t="shared" si="0"/>
        <v>9.4516965795360272E-5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5.5" customHeight="1" x14ac:dyDescent="0.35">
      <c r="A96" s="5"/>
      <c r="B96" s="20"/>
      <c r="C96" s="6"/>
      <c r="D96" s="6" t="s">
        <v>98</v>
      </c>
      <c r="E96" s="11">
        <v>9</v>
      </c>
      <c r="F96" s="19">
        <f t="shared" si="0"/>
        <v>9.4516965795360272E-5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5.5" customHeight="1" x14ac:dyDescent="0.35">
      <c r="A97" s="5"/>
      <c r="B97" s="20"/>
      <c r="C97" s="6"/>
      <c r="D97" s="6" t="s">
        <v>99</v>
      </c>
      <c r="E97" s="11">
        <v>9</v>
      </c>
      <c r="F97" s="19">
        <f t="shared" si="0"/>
        <v>9.4516965795360272E-5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5.5" customHeight="1" x14ac:dyDescent="0.35">
      <c r="A98" s="5"/>
      <c r="B98" s="20"/>
      <c r="C98" s="6"/>
      <c r="D98" s="6" t="s">
        <v>100</v>
      </c>
      <c r="E98" s="11">
        <v>9</v>
      </c>
      <c r="F98" s="19">
        <f t="shared" si="0"/>
        <v>9.4516965795360272E-5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5.5" customHeight="1" x14ac:dyDescent="0.35">
      <c r="A99" s="5"/>
      <c r="B99" s="20"/>
      <c r="C99" s="6"/>
      <c r="D99" s="6" t="s">
        <v>101</v>
      </c>
      <c r="E99" s="11">
        <v>9</v>
      </c>
      <c r="F99" s="19">
        <f t="shared" si="0"/>
        <v>9.4516965795360272E-5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5.5" customHeight="1" x14ac:dyDescent="0.35">
      <c r="A100" s="5"/>
      <c r="B100" s="20"/>
      <c r="C100" s="6"/>
      <c r="D100" s="6" t="s">
        <v>102</v>
      </c>
      <c r="E100" s="11">
        <v>8</v>
      </c>
      <c r="F100" s="19">
        <f t="shared" si="0"/>
        <v>8.4015080706986898E-5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5.5" customHeight="1" x14ac:dyDescent="0.35">
      <c r="A101" s="5"/>
      <c r="B101" s="20"/>
      <c r="C101" s="6"/>
      <c r="D101" s="6" t="s">
        <v>103</v>
      </c>
      <c r="E101" s="11">
        <v>8</v>
      </c>
      <c r="F101" s="19">
        <f t="shared" si="0"/>
        <v>8.4015080706986898E-5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5.5" customHeight="1" x14ac:dyDescent="0.35">
      <c r="A102" s="5"/>
      <c r="B102" s="20"/>
      <c r="C102" s="6"/>
      <c r="D102" s="6" t="s">
        <v>104</v>
      </c>
      <c r="E102" s="11">
        <v>8</v>
      </c>
      <c r="F102" s="19">
        <f t="shared" si="0"/>
        <v>8.4015080706986898E-5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5.5" customHeight="1" x14ac:dyDescent="0.35">
      <c r="A103" s="5"/>
      <c r="B103" s="20"/>
      <c r="C103" s="6"/>
      <c r="D103" s="6" t="s">
        <v>105</v>
      </c>
      <c r="E103" s="11">
        <v>8</v>
      </c>
      <c r="F103" s="19">
        <f t="shared" si="0"/>
        <v>8.4015080706986898E-5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5.5" customHeight="1" x14ac:dyDescent="0.35">
      <c r="A104" s="5"/>
      <c r="B104" s="20"/>
      <c r="C104" s="6"/>
      <c r="D104" s="6" t="s">
        <v>106</v>
      </c>
      <c r="E104" s="11">
        <v>8</v>
      </c>
      <c r="F104" s="19">
        <f t="shared" si="0"/>
        <v>8.4015080706986898E-5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5.5" customHeight="1" x14ac:dyDescent="0.35">
      <c r="A105" s="5"/>
      <c r="B105" s="20"/>
      <c r="C105" s="6"/>
      <c r="D105" s="6" t="s">
        <v>107</v>
      </c>
      <c r="E105" s="11">
        <v>8</v>
      </c>
      <c r="F105" s="19">
        <f t="shared" si="0"/>
        <v>8.4015080706986898E-5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5.5" customHeight="1" x14ac:dyDescent="0.35">
      <c r="A106" s="5"/>
      <c r="B106" s="20"/>
      <c r="C106" s="6"/>
      <c r="D106" s="6" t="s">
        <v>108</v>
      </c>
      <c r="E106" s="11">
        <v>8</v>
      </c>
      <c r="F106" s="19">
        <f t="shared" si="0"/>
        <v>8.4015080706986898E-5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5.5" customHeight="1" x14ac:dyDescent="0.35">
      <c r="A107" s="5"/>
      <c r="B107" s="20"/>
      <c r="C107" s="6"/>
      <c r="D107" s="6" t="s">
        <v>109</v>
      </c>
      <c r="E107" s="11">
        <v>8</v>
      </c>
      <c r="F107" s="19">
        <f t="shared" si="0"/>
        <v>8.4015080706986898E-5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5.5" customHeight="1" x14ac:dyDescent="0.35">
      <c r="A108" s="5"/>
      <c r="B108" s="20"/>
      <c r="C108" s="6"/>
      <c r="D108" s="6" t="s">
        <v>110</v>
      </c>
      <c r="E108" s="11">
        <v>8</v>
      </c>
      <c r="F108" s="19">
        <f t="shared" si="0"/>
        <v>8.4015080706986898E-5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5.5" customHeight="1" x14ac:dyDescent="0.35">
      <c r="A109" s="5"/>
      <c r="B109" s="20"/>
      <c r="C109" s="6"/>
      <c r="D109" s="6" t="s">
        <v>111</v>
      </c>
      <c r="E109" s="11">
        <v>8</v>
      </c>
      <c r="F109" s="19">
        <f t="shared" si="0"/>
        <v>8.4015080706986898E-5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5.5" customHeight="1" x14ac:dyDescent="0.35">
      <c r="A110" s="5"/>
      <c r="B110" s="20"/>
      <c r="C110" s="6"/>
      <c r="D110" s="6" t="s">
        <v>112</v>
      </c>
      <c r="E110" s="11">
        <v>8</v>
      </c>
      <c r="F110" s="19">
        <f t="shared" si="0"/>
        <v>8.4015080706986898E-5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5.5" customHeight="1" x14ac:dyDescent="0.35">
      <c r="A111" s="5"/>
      <c r="B111" s="18"/>
      <c r="C111" s="6"/>
      <c r="D111" s="6" t="s">
        <v>113</v>
      </c>
      <c r="E111" s="11">
        <v>8</v>
      </c>
      <c r="F111" s="19">
        <f t="shared" si="0"/>
        <v>8.4015080706986898E-5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5.5" customHeight="1" x14ac:dyDescent="0.35">
      <c r="A112" s="5"/>
      <c r="B112" s="20"/>
      <c r="C112" s="6"/>
      <c r="D112" s="6" t="s">
        <v>114</v>
      </c>
      <c r="E112" s="11">
        <v>8</v>
      </c>
      <c r="F112" s="19">
        <f t="shared" si="0"/>
        <v>8.4015080706986898E-5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5.5" customHeight="1" x14ac:dyDescent="0.35">
      <c r="A113" s="5"/>
      <c r="B113" s="20"/>
      <c r="C113" s="6"/>
      <c r="D113" s="6" t="s">
        <v>115</v>
      </c>
      <c r="E113" s="11">
        <v>8</v>
      </c>
      <c r="F113" s="19">
        <f t="shared" si="0"/>
        <v>8.4015080706986898E-5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5.5" customHeight="1" x14ac:dyDescent="0.35">
      <c r="A114" s="5"/>
      <c r="B114" s="20"/>
      <c r="C114" s="6"/>
      <c r="D114" s="6" t="s">
        <v>116</v>
      </c>
      <c r="E114" s="11">
        <v>8</v>
      </c>
      <c r="F114" s="19">
        <f t="shared" si="0"/>
        <v>8.4015080706986898E-5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35">
      <c r="A115" s="5"/>
      <c r="B115" s="20"/>
      <c r="C115" s="6"/>
      <c r="D115" s="6" t="s">
        <v>117</v>
      </c>
      <c r="E115" s="11">
        <v>8</v>
      </c>
      <c r="F115" s="19">
        <f t="shared" si="0"/>
        <v>8.4015080706986898E-5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35">
      <c r="A116" s="5"/>
      <c r="B116" s="20"/>
      <c r="C116" s="6"/>
      <c r="D116" s="6" t="s">
        <v>118</v>
      </c>
      <c r="E116" s="11">
        <v>8</v>
      </c>
      <c r="F116" s="19">
        <f t="shared" si="0"/>
        <v>8.4015080706986898E-5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5.5" customHeight="1" x14ac:dyDescent="0.35">
      <c r="A117" s="5"/>
      <c r="B117" s="20"/>
      <c r="C117" s="6"/>
      <c r="D117" s="6" t="s">
        <v>119</v>
      </c>
      <c r="E117" s="11">
        <v>8</v>
      </c>
      <c r="F117" s="19">
        <f t="shared" si="0"/>
        <v>8.4015080706986898E-5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5.5" customHeight="1" x14ac:dyDescent="0.35">
      <c r="A118" s="5"/>
      <c r="B118" s="20"/>
      <c r="C118" s="6"/>
      <c r="D118" s="6" t="s">
        <v>120</v>
      </c>
      <c r="E118" s="11">
        <v>8</v>
      </c>
      <c r="F118" s="19">
        <f t="shared" si="0"/>
        <v>8.4015080706986898E-5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5.5" customHeight="1" x14ac:dyDescent="0.35">
      <c r="A119" s="5"/>
      <c r="B119" s="20"/>
      <c r="C119" s="6"/>
      <c r="D119" s="6" t="s">
        <v>121</v>
      </c>
      <c r="E119" s="11">
        <v>7</v>
      </c>
      <c r="F119" s="19">
        <f t="shared" si="0"/>
        <v>7.3513195618613538E-5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5.5" customHeight="1" x14ac:dyDescent="0.35">
      <c r="A120" s="5"/>
      <c r="B120" s="20"/>
      <c r="C120" s="6"/>
      <c r="D120" s="6" t="s">
        <v>122</v>
      </c>
      <c r="E120" s="11">
        <v>7</v>
      </c>
      <c r="F120" s="19">
        <f t="shared" si="0"/>
        <v>7.3513195618613538E-5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5.5" customHeight="1" x14ac:dyDescent="0.35">
      <c r="A121" s="5"/>
      <c r="B121" s="20"/>
      <c r="C121" s="6"/>
      <c r="D121" s="6" t="s">
        <v>123</v>
      </c>
      <c r="E121" s="11">
        <v>7</v>
      </c>
      <c r="F121" s="19">
        <f t="shared" si="0"/>
        <v>7.3513195618613538E-5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5.5" customHeight="1" x14ac:dyDescent="0.35">
      <c r="A122" s="5"/>
      <c r="B122" s="20"/>
      <c r="C122" s="6"/>
      <c r="D122" s="6" t="s">
        <v>124</v>
      </c>
      <c r="E122" s="11">
        <v>7</v>
      </c>
      <c r="F122" s="19">
        <f t="shared" si="0"/>
        <v>7.3513195618613538E-5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5.5" customHeight="1" x14ac:dyDescent="0.35">
      <c r="A123" s="5"/>
      <c r="B123" s="20"/>
      <c r="C123" s="6"/>
      <c r="D123" s="6" t="s">
        <v>125</v>
      </c>
      <c r="E123" s="11">
        <v>7</v>
      </c>
      <c r="F123" s="19">
        <f t="shared" si="0"/>
        <v>7.3513195618613538E-5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.5" customHeight="1" x14ac:dyDescent="0.35">
      <c r="A124" s="5"/>
      <c r="B124" s="20"/>
      <c r="C124" s="6"/>
      <c r="D124" s="6" t="s">
        <v>126</v>
      </c>
      <c r="E124" s="11">
        <v>7</v>
      </c>
      <c r="F124" s="19">
        <f t="shared" si="0"/>
        <v>7.3513195618613538E-5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5.5" customHeight="1" x14ac:dyDescent="0.35">
      <c r="A125" s="5"/>
      <c r="B125" s="20"/>
      <c r="C125" s="6"/>
      <c r="D125" s="6" t="s">
        <v>127</v>
      </c>
      <c r="E125" s="11">
        <v>7</v>
      </c>
      <c r="F125" s="19">
        <f t="shared" si="0"/>
        <v>7.3513195618613538E-5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5.5" customHeight="1" x14ac:dyDescent="0.35">
      <c r="A126" s="5"/>
      <c r="B126" s="20"/>
      <c r="C126" s="6"/>
      <c r="D126" s="6" t="s">
        <v>128</v>
      </c>
      <c r="E126" s="11">
        <v>7</v>
      </c>
      <c r="F126" s="19">
        <f t="shared" si="0"/>
        <v>7.3513195618613538E-5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5.5" customHeight="1" x14ac:dyDescent="0.35">
      <c r="A127" s="5"/>
      <c r="B127" s="20"/>
      <c r="C127" s="6"/>
      <c r="D127" s="6" t="s">
        <v>129</v>
      </c>
      <c r="E127" s="11">
        <v>7</v>
      </c>
      <c r="F127" s="19">
        <f t="shared" si="0"/>
        <v>7.3513195618613538E-5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5.5" customHeight="1" x14ac:dyDescent="0.35">
      <c r="A128" s="5"/>
      <c r="B128" s="20"/>
      <c r="C128" s="6"/>
      <c r="D128" s="6" t="s">
        <v>130</v>
      </c>
      <c r="E128" s="11">
        <v>7</v>
      </c>
      <c r="F128" s="19">
        <f t="shared" si="0"/>
        <v>7.3513195618613538E-5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5.5" customHeight="1" x14ac:dyDescent="0.35">
      <c r="A129" s="5"/>
      <c r="B129" s="20"/>
      <c r="C129" s="6"/>
      <c r="D129" s="6" t="s">
        <v>131</v>
      </c>
      <c r="E129" s="11">
        <v>7</v>
      </c>
      <c r="F129" s="19">
        <f t="shared" si="0"/>
        <v>7.3513195618613538E-5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5.5" customHeight="1" x14ac:dyDescent="0.35">
      <c r="A130" s="5"/>
      <c r="B130" s="20"/>
      <c r="C130" s="6"/>
      <c r="D130" s="6" t="s">
        <v>132</v>
      </c>
      <c r="E130" s="11">
        <v>7</v>
      </c>
      <c r="F130" s="19">
        <f t="shared" si="0"/>
        <v>7.3513195618613538E-5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5.5" customHeight="1" x14ac:dyDescent="0.35">
      <c r="A131" s="5"/>
      <c r="B131" s="20"/>
      <c r="C131" s="6"/>
      <c r="D131" s="6" t="s">
        <v>133</v>
      </c>
      <c r="E131" s="11">
        <v>7</v>
      </c>
      <c r="F131" s="19">
        <f t="shared" si="0"/>
        <v>7.3513195618613538E-5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5.5" customHeight="1" x14ac:dyDescent="0.35">
      <c r="A132" s="5"/>
      <c r="B132" s="20"/>
      <c r="C132" s="6"/>
      <c r="D132" s="6" t="s">
        <v>134</v>
      </c>
      <c r="E132" s="11">
        <v>6</v>
      </c>
      <c r="F132" s="19">
        <f t="shared" si="0"/>
        <v>6.3011310530240177E-5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5.5" customHeight="1" x14ac:dyDescent="0.35">
      <c r="A133" s="5"/>
      <c r="B133" s="20"/>
      <c r="C133" s="6"/>
      <c r="D133" s="6" t="s">
        <v>135</v>
      </c>
      <c r="E133" s="11">
        <v>6</v>
      </c>
      <c r="F133" s="19">
        <f t="shared" si="0"/>
        <v>6.3011310530240177E-5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5.5" customHeight="1" x14ac:dyDescent="0.35">
      <c r="A134" s="5"/>
      <c r="B134" s="20"/>
      <c r="C134" s="6"/>
      <c r="D134" s="6" t="s">
        <v>136</v>
      </c>
      <c r="E134" s="11">
        <v>6</v>
      </c>
      <c r="F134" s="19">
        <f t="shared" si="0"/>
        <v>6.3011310530240177E-5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5.5" customHeight="1" x14ac:dyDescent="0.35">
      <c r="A135" s="5"/>
      <c r="B135" s="20"/>
      <c r="C135" s="6"/>
      <c r="D135" s="6" t="s">
        <v>137</v>
      </c>
      <c r="E135" s="11">
        <v>6</v>
      </c>
      <c r="F135" s="19">
        <f t="shared" si="0"/>
        <v>6.3011310530240177E-5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5.5" customHeight="1" x14ac:dyDescent="0.35">
      <c r="A136" s="5"/>
      <c r="B136" s="20"/>
      <c r="C136" s="6"/>
      <c r="D136" s="6" t="s">
        <v>138</v>
      </c>
      <c r="E136" s="11">
        <v>6</v>
      </c>
      <c r="F136" s="19">
        <f t="shared" si="0"/>
        <v>6.3011310530240177E-5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5.5" customHeight="1" x14ac:dyDescent="0.35">
      <c r="A137" s="5"/>
      <c r="B137" s="20"/>
      <c r="C137" s="6"/>
      <c r="D137" s="6" t="s">
        <v>139</v>
      </c>
      <c r="E137" s="11">
        <v>6</v>
      </c>
      <c r="F137" s="19">
        <f t="shared" si="0"/>
        <v>6.3011310530240177E-5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5.5" customHeight="1" x14ac:dyDescent="0.35">
      <c r="A138" s="5"/>
      <c r="B138" s="20"/>
      <c r="C138" s="6"/>
      <c r="D138" s="6" t="s">
        <v>140</v>
      </c>
      <c r="E138" s="11">
        <v>6</v>
      </c>
      <c r="F138" s="19">
        <f t="shared" si="0"/>
        <v>6.3011310530240177E-5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5.5" customHeight="1" x14ac:dyDescent="0.35">
      <c r="A139" s="5"/>
      <c r="B139" s="20"/>
      <c r="C139" s="6"/>
      <c r="D139" s="6" t="s">
        <v>141</v>
      </c>
      <c r="E139" s="11">
        <v>6</v>
      </c>
      <c r="F139" s="19">
        <f t="shared" si="0"/>
        <v>6.3011310530240177E-5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5.5" customHeight="1" x14ac:dyDescent="0.35">
      <c r="A140" s="5"/>
      <c r="B140" s="20"/>
      <c r="C140" s="6"/>
      <c r="D140" s="6" t="s">
        <v>142</v>
      </c>
      <c r="E140" s="11">
        <v>6</v>
      </c>
      <c r="F140" s="19">
        <f t="shared" si="0"/>
        <v>6.3011310530240177E-5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5.5" customHeight="1" x14ac:dyDescent="0.35">
      <c r="A141" s="5"/>
      <c r="B141" s="20"/>
      <c r="C141" s="6"/>
      <c r="D141" s="6" t="s">
        <v>143</v>
      </c>
      <c r="E141" s="11">
        <v>6</v>
      </c>
      <c r="F141" s="19">
        <f t="shared" si="0"/>
        <v>6.3011310530240177E-5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5.5" customHeight="1" x14ac:dyDescent="0.35">
      <c r="A142" s="5"/>
      <c r="B142" s="20"/>
      <c r="C142" s="6"/>
      <c r="D142" s="6" t="s">
        <v>144</v>
      </c>
      <c r="E142" s="11">
        <v>6</v>
      </c>
      <c r="F142" s="19">
        <f t="shared" si="0"/>
        <v>6.3011310530240177E-5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5.5" customHeight="1" x14ac:dyDescent="0.35">
      <c r="A143" s="5"/>
      <c r="B143" s="20"/>
      <c r="C143" s="6"/>
      <c r="D143" s="6" t="s">
        <v>145</v>
      </c>
      <c r="E143" s="11">
        <v>6</v>
      </c>
      <c r="F143" s="19">
        <f t="shared" si="0"/>
        <v>6.3011310530240177E-5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5.5" customHeight="1" x14ac:dyDescent="0.35">
      <c r="A144" s="5"/>
      <c r="B144" s="20"/>
      <c r="C144" s="6"/>
      <c r="D144" s="6" t="s">
        <v>146</v>
      </c>
      <c r="E144" s="11">
        <v>6</v>
      </c>
      <c r="F144" s="19">
        <f t="shared" si="0"/>
        <v>6.3011310530240177E-5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5.5" customHeight="1" x14ac:dyDescent="0.35">
      <c r="A145" s="5"/>
      <c r="B145" s="20"/>
      <c r="C145" s="6"/>
      <c r="D145" s="6" t="s">
        <v>147</v>
      </c>
      <c r="E145" s="11">
        <v>6</v>
      </c>
      <c r="F145" s="19">
        <f t="shared" si="0"/>
        <v>6.3011310530240177E-5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5.5" customHeight="1" x14ac:dyDescent="0.35">
      <c r="A146" s="5"/>
      <c r="B146" s="20"/>
      <c r="C146" s="6"/>
      <c r="D146" s="6" t="s">
        <v>148</v>
      </c>
      <c r="E146" s="11">
        <v>6</v>
      </c>
      <c r="F146" s="19">
        <f t="shared" si="0"/>
        <v>6.3011310530240177E-5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5.5" customHeight="1" x14ac:dyDescent="0.35">
      <c r="A147" s="5"/>
      <c r="B147" s="20"/>
      <c r="C147" s="6"/>
      <c r="D147" s="6" t="s">
        <v>149</v>
      </c>
      <c r="E147" s="11">
        <v>5</v>
      </c>
      <c r="F147" s="19">
        <f t="shared" si="0"/>
        <v>5.2509425441866816E-5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5.5" customHeight="1" x14ac:dyDescent="0.35">
      <c r="A148" s="5"/>
      <c r="B148" s="20"/>
      <c r="C148" s="6"/>
      <c r="D148" s="6" t="s">
        <v>150</v>
      </c>
      <c r="E148" s="11">
        <v>5</v>
      </c>
      <c r="F148" s="19">
        <f t="shared" si="0"/>
        <v>5.2509425441866816E-5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5.5" customHeight="1" x14ac:dyDescent="0.35">
      <c r="A149" s="5"/>
      <c r="B149" s="20"/>
      <c r="C149" s="6"/>
      <c r="D149" s="6" t="s">
        <v>151</v>
      </c>
      <c r="E149" s="11">
        <v>5</v>
      </c>
      <c r="F149" s="19">
        <f t="shared" si="0"/>
        <v>5.2509425441866816E-5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5.5" customHeight="1" x14ac:dyDescent="0.35">
      <c r="A150" s="5"/>
      <c r="B150" s="20"/>
      <c r="C150" s="6"/>
      <c r="D150" s="6" t="s">
        <v>152</v>
      </c>
      <c r="E150" s="11">
        <v>5</v>
      </c>
      <c r="F150" s="19">
        <f t="shared" si="0"/>
        <v>5.2509425441866816E-5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5.5" customHeight="1" x14ac:dyDescent="0.35">
      <c r="A151" s="5"/>
      <c r="B151" s="20"/>
      <c r="C151" s="6"/>
      <c r="D151" s="6" t="s">
        <v>153</v>
      </c>
      <c r="E151" s="11">
        <v>5</v>
      </c>
      <c r="F151" s="19">
        <f t="shared" si="0"/>
        <v>5.2509425441866816E-5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.5" customHeight="1" x14ac:dyDescent="0.35">
      <c r="A152" s="5"/>
      <c r="B152" s="20"/>
      <c r="C152" s="6"/>
      <c r="D152" s="6" t="s">
        <v>154</v>
      </c>
      <c r="E152" s="11">
        <v>5</v>
      </c>
      <c r="F152" s="19">
        <f t="shared" si="0"/>
        <v>5.2509425441866816E-5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5.5" customHeight="1" x14ac:dyDescent="0.35">
      <c r="A153" s="5"/>
      <c r="B153" s="20"/>
      <c r="C153" s="6"/>
      <c r="D153" s="6" t="s">
        <v>155</v>
      </c>
      <c r="E153" s="11">
        <v>5</v>
      </c>
      <c r="F153" s="19">
        <f t="shared" si="0"/>
        <v>5.2509425441866816E-5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5.5" customHeight="1" x14ac:dyDescent="0.35">
      <c r="A154" s="5"/>
      <c r="B154" s="20"/>
      <c r="C154" s="6"/>
      <c r="D154" s="6" t="s">
        <v>156</v>
      </c>
      <c r="E154" s="11">
        <v>5</v>
      </c>
      <c r="F154" s="19">
        <f t="shared" si="0"/>
        <v>5.2509425441866816E-5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5.5" customHeight="1" x14ac:dyDescent="0.35">
      <c r="A155" s="5"/>
      <c r="B155" s="20"/>
      <c r="C155" s="6"/>
      <c r="D155" s="6" t="s">
        <v>157</v>
      </c>
      <c r="E155" s="11">
        <v>5</v>
      </c>
      <c r="F155" s="19">
        <f t="shared" si="0"/>
        <v>5.2509425441866816E-5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5.5" customHeight="1" x14ac:dyDescent="0.35">
      <c r="A156" s="5"/>
      <c r="B156" s="20"/>
      <c r="C156" s="6"/>
      <c r="D156" s="6" t="s">
        <v>158</v>
      </c>
      <c r="E156" s="11">
        <v>5</v>
      </c>
      <c r="F156" s="19">
        <f t="shared" si="0"/>
        <v>5.2509425441866816E-5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5.5" customHeight="1" x14ac:dyDescent="0.35">
      <c r="A157" s="5"/>
      <c r="B157" s="20"/>
      <c r="C157" s="6"/>
      <c r="D157" s="6" t="s">
        <v>159</v>
      </c>
      <c r="E157" s="11">
        <v>5</v>
      </c>
      <c r="F157" s="19">
        <f t="shared" si="0"/>
        <v>5.2509425441866816E-5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5.5" customHeight="1" x14ac:dyDescent="0.35">
      <c r="A158" s="5"/>
      <c r="B158" s="20"/>
      <c r="C158" s="6"/>
      <c r="D158" s="6" t="s">
        <v>160</v>
      </c>
      <c r="E158" s="11">
        <v>5</v>
      </c>
      <c r="F158" s="19">
        <f t="shared" si="0"/>
        <v>5.2509425441866816E-5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5.5" customHeight="1" x14ac:dyDescent="0.35">
      <c r="A159" s="5"/>
      <c r="B159" s="20"/>
      <c r="C159" s="6"/>
      <c r="D159" s="6" t="s">
        <v>161</v>
      </c>
      <c r="E159" s="11">
        <v>5</v>
      </c>
      <c r="F159" s="19">
        <f t="shared" si="0"/>
        <v>5.2509425441866816E-5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5.5" customHeight="1" x14ac:dyDescent="0.35">
      <c r="A160" s="5"/>
      <c r="B160" s="20"/>
      <c r="C160" s="6"/>
      <c r="D160" s="6" t="s">
        <v>162</v>
      </c>
      <c r="E160" s="11">
        <v>5</v>
      </c>
      <c r="F160" s="19">
        <f t="shared" si="0"/>
        <v>5.2509425441866816E-5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5.5" customHeight="1" x14ac:dyDescent="0.35">
      <c r="A161" s="5"/>
      <c r="B161" s="20"/>
      <c r="C161" s="6"/>
      <c r="D161" s="6" t="s">
        <v>163</v>
      </c>
      <c r="E161" s="11">
        <v>5</v>
      </c>
      <c r="F161" s="19">
        <f t="shared" si="0"/>
        <v>5.2509425441866816E-5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5.5" customHeight="1" x14ac:dyDescent="0.35">
      <c r="A162" s="5"/>
      <c r="B162" s="20"/>
      <c r="C162" s="6"/>
      <c r="D162" s="6" t="s">
        <v>164</v>
      </c>
      <c r="E162" s="11">
        <v>5</v>
      </c>
      <c r="F162" s="19">
        <f t="shared" si="0"/>
        <v>5.2509425441866816E-5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35">
      <c r="A163" s="5"/>
      <c r="B163" s="20"/>
      <c r="C163" s="6"/>
      <c r="D163" s="6" t="s">
        <v>165</v>
      </c>
      <c r="E163" s="11">
        <v>5</v>
      </c>
      <c r="F163" s="19">
        <f t="shared" si="0"/>
        <v>5.2509425441866816E-5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35">
      <c r="A164" s="5"/>
      <c r="B164" s="20"/>
      <c r="C164" s="6"/>
      <c r="D164" s="6" t="s">
        <v>166</v>
      </c>
      <c r="E164" s="11">
        <v>5</v>
      </c>
      <c r="F164" s="19">
        <f t="shared" si="0"/>
        <v>5.2509425441866816E-5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5.5" customHeight="1" x14ac:dyDescent="0.35">
      <c r="A165" s="5"/>
      <c r="B165" s="20"/>
      <c r="C165" s="6"/>
      <c r="D165" s="6" t="s">
        <v>167</v>
      </c>
      <c r="E165" s="11">
        <v>5</v>
      </c>
      <c r="F165" s="19">
        <f t="shared" si="0"/>
        <v>5.2509425441866816E-5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5.5" customHeight="1" x14ac:dyDescent="0.35">
      <c r="A166" s="5"/>
      <c r="B166" s="20"/>
      <c r="C166" s="6"/>
      <c r="D166" s="6" t="s">
        <v>168</v>
      </c>
      <c r="E166" s="11">
        <v>5</v>
      </c>
      <c r="F166" s="19">
        <f t="shared" si="0"/>
        <v>5.2509425441866816E-5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5.5" customHeight="1" x14ac:dyDescent="0.35">
      <c r="A167" s="5"/>
      <c r="B167" s="20"/>
      <c r="C167" s="6"/>
      <c r="D167" s="6" t="s">
        <v>169</v>
      </c>
      <c r="E167" s="11">
        <v>5</v>
      </c>
      <c r="F167" s="19">
        <f t="shared" si="0"/>
        <v>5.2509425441866816E-5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5.5" customHeight="1" x14ac:dyDescent="0.35">
      <c r="A168" s="5"/>
      <c r="B168" s="20"/>
      <c r="C168" s="6"/>
      <c r="D168" s="6" t="s">
        <v>170</v>
      </c>
      <c r="E168" s="11">
        <v>5</v>
      </c>
      <c r="F168" s="19">
        <f t="shared" si="0"/>
        <v>5.2509425441866816E-5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5.5" customHeight="1" x14ac:dyDescent="0.35">
      <c r="A169" s="5"/>
      <c r="B169" s="20"/>
      <c r="C169" s="6"/>
      <c r="D169" s="6" t="s">
        <v>171</v>
      </c>
      <c r="E169" s="11">
        <v>5</v>
      </c>
      <c r="F169" s="19">
        <f t="shared" si="0"/>
        <v>5.2509425441866816E-5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5.5" customHeight="1" x14ac:dyDescent="0.35">
      <c r="A170" s="5"/>
      <c r="B170" s="20"/>
      <c r="C170" s="6"/>
      <c r="D170" s="6" t="s">
        <v>172</v>
      </c>
      <c r="E170" s="11">
        <v>5</v>
      </c>
      <c r="F170" s="19">
        <f t="shared" si="0"/>
        <v>5.2509425441866816E-5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5.5" customHeight="1" x14ac:dyDescent="0.35">
      <c r="A171" s="5"/>
      <c r="B171" s="20"/>
      <c r="C171" s="6"/>
      <c r="D171" s="6" t="s">
        <v>173</v>
      </c>
      <c r="E171" s="11">
        <v>5</v>
      </c>
      <c r="F171" s="19">
        <f t="shared" si="0"/>
        <v>5.2509425441866816E-5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5.5" customHeight="1" x14ac:dyDescent="0.35">
      <c r="A172" s="5"/>
      <c r="B172" s="20"/>
      <c r="C172" s="6"/>
      <c r="D172" s="6" t="s">
        <v>174</v>
      </c>
      <c r="E172" s="11">
        <v>5</v>
      </c>
      <c r="F172" s="19">
        <f t="shared" si="0"/>
        <v>5.2509425441866816E-5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5.5" customHeight="1" x14ac:dyDescent="0.35">
      <c r="A173" s="5"/>
      <c r="B173" s="20"/>
      <c r="C173" s="6"/>
      <c r="D173" s="6" t="s">
        <v>175</v>
      </c>
      <c r="E173" s="11">
        <v>5</v>
      </c>
      <c r="F173" s="19">
        <f t="shared" si="0"/>
        <v>5.2509425441866816E-5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5.5" customHeight="1" x14ac:dyDescent="0.35">
      <c r="A174" s="5"/>
      <c r="B174" s="20"/>
      <c r="C174" s="6"/>
      <c r="D174" s="6" t="s">
        <v>176</v>
      </c>
      <c r="E174" s="11">
        <v>5</v>
      </c>
      <c r="F174" s="19">
        <f t="shared" si="0"/>
        <v>5.2509425441866816E-5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.5" customHeight="1" x14ac:dyDescent="0.35">
      <c r="A175" s="5"/>
      <c r="B175" s="20"/>
      <c r="C175" s="6"/>
      <c r="D175" s="6" t="s">
        <v>177</v>
      </c>
      <c r="E175" s="11">
        <v>5</v>
      </c>
      <c r="F175" s="19">
        <f t="shared" si="0"/>
        <v>5.2509425441866816E-5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5.5" customHeight="1" x14ac:dyDescent="0.35">
      <c r="A176" s="5"/>
      <c r="B176" s="20"/>
      <c r="C176" s="6"/>
      <c r="D176" s="6" t="s">
        <v>178</v>
      </c>
      <c r="E176" s="11">
        <v>5</v>
      </c>
      <c r="F176" s="19">
        <f t="shared" si="0"/>
        <v>5.2509425441866816E-5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5.5" customHeight="1" x14ac:dyDescent="0.35">
      <c r="A177" s="5"/>
      <c r="B177" s="20"/>
      <c r="C177" s="6"/>
      <c r="D177" s="6" t="s">
        <v>179</v>
      </c>
      <c r="E177" s="11">
        <v>5</v>
      </c>
      <c r="F177" s="19">
        <f t="shared" si="0"/>
        <v>5.2509425441866816E-5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5.5" customHeight="1" x14ac:dyDescent="0.35">
      <c r="A178" s="5"/>
      <c r="B178" s="20"/>
      <c r="C178" s="6"/>
      <c r="D178" s="6" t="s">
        <v>180</v>
      </c>
      <c r="E178" s="11">
        <v>4</v>
      </c>
      <c r="F178" s="19">
        <f t="shared" si="0"/>
        <v>4.2007540353493449E-5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5.5" customHeight="1" x14ac:dyDescent="0.35">
      <c r="A179" s="5"/>
      <c r="B179" s="20"/>
      <c r="C179" s="6"/>
      <c r="D179" s="6" t="s">
        <v>181</v>
      </c>
      <c r="E179" s="11">
        <v>4</v>
      </c>
      <c r="F179" s="19">
        <f t="shared" si="0"/>
        <v>4.2007540353493449E-5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5.5" customHeight="1" x14ac:dyDescent="0.35">
      <c r="A180" s="5"/>
      <c r="B180" s="20"/>
      <c r="C180" s="6"/>
      <c r="D180" s="6" t="s">
        <v>182</v>
      </c>
      <c r="E180" s="11">
        <v>4</v>
      </c>
      <c r="F180" s="19">
        <f t="shared" si="0"/>
        <v>4.2007540353493449E-5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5.5" customHeight="1" x14ac:dyDescent="0.35">
      <c r="A181" s="5"/>
      <c r="B181" s="20"/>
      <c r="C181" s="6"/>
      <c r="D181" s="6" t="s">
        <v>183</v>
      </c>
      <c r="E181" s="11">
        <v>4</v>
      </c>
      <c r="F181" s="19">
        <f t="shared" si="0"/>
        <v>4.2007540353493449E-5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5.5" customHeight="1" x14ac:dyDescent="0.35">
      <c r="A182" s="5"/>
      <c r="B182" s="20"/>
      <c r="C182" s="6"/>
      <c r="D182" s="6" t="s">
        <v>184</v>
      </c>
      <c r="E182" s="11">
        <v>4</v>
      </c>
      <c r="F182" s="19">
        <f t="shared" si="0"/>
        <v>4.2007540353493449E-5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5.5" customHeight="1" x14ac:dyDescent="0.35">
      <c r="A183" s="5"/>
      <c r="B183" s="20"/>
      <c r="C183" s="6"/>
      <c r="D183" s="6" t="s">
        <v>185</v>
      </c>
      <c r="E183" s="11">
        <v>4</v>
      </c>
      <c r="F183" s="19">
        <f t="shared" si="0"/>
        <v>4.2007540353493449E-5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5.5" customHeight="1" x14ac:dyDescent="0.35">
      <c r="A184" s="5"/>
      <c r="B184" s="20"/>
      <c r="C184" s="6"/>
      <c r="D184" s="6" t="s">
        <v>186</v>
      </c>
      <c r="E184" s="11">
        <v>4</v>
      </c>
      <c r="F184" s="19">
        <f t="shared" si="0"/>
        <v>4.2007540353493449E-5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5.5" customHeight="1" x14ac:dyDescent="0.35">
      <c r="A185" s="5"/>
      <c r="B185" s="20"/>
      <c r="C185" s="6"/>
      <c r="D185" s="6" t="s">
        <v>187</v>
      </c>
      <c r="E185" s="11">
        <v>4</v>
      </c>
      <c r="F185" s="19">
        <f t="shared" si="0"/>
        <v>4.2007540353493449E-5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5.5" customHeight="1" x14ac:dyDescent="0.35">
      <c r="A186" s="5"/>
      <c r="B186" s="20"/>
      <c r="C186" s="6"/>
      <c r="D186" s="6" t="s">
        <v>188</v>
      </c>
      <c r="E186" s="11">
        <v>4</v>
      </c>
      <c r="F186" s="19">
        <f t="shared" si="0"/>
        <v>4.2007540353493449E-5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5.5" customHeight="1" x14ac:dyDescent="0.35">
      <c r="A187" s="5"/>
      <c r="B187" s="20"/>
      <c r="C187" s="6"/>
      <c r="D187" s="6" t="s">
        <v>189</v>
      </c>
      <c r="E187" s="11">
        <v>4</v>
      </c>
      <c r="F187" s="19">
        <f t="shared" si="0"/>
        <v>4.2007540353493449E-5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5.5" customHeight="1" x14ac:dyDescent="0.35">
      <c r="A188" s="5"/>
      <c r="B188" s="20"/>
      <c r="C188" s="6"/>
      <c r="D188" s="6" t="s">
        <v>190</v>
      </c>
      <c r="E188" s="11">
        <v>4</v>
      </c>
      <c r="F188" s="19">
        <f t="shared" si="0"/>
        <v>4.2007540353493449E-5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5.5" customHeight="1" x14ac:dyDescent="0.35">
      <c r="A189" s="5"/>
      <c r="B189" s="20"/>
      <c r="C189" s="6"/>
      <c r="D189" s="6" t="s">
        <v>191</v>
      </c>
      <c r="E189" s="11">
        <v>4</v>
      </c>
      <c r="F189" s="19">
        <f t="shared" si="0"/>
        <v>4.2007540353493449E-5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5.5" customHeight="1" x14ac:dyDescent="0.35">
      <c r="A190" s="5"/>
      <c r="B190" s="20"/>
      <c r="C190" s="6"/>
      <c r="D190" s="6" t="s">
        <v>192</v>
      </c>
      <c r="E190" s="11">
        <v>4</v>
      </c>
      <c r="F190" s="19">
        <f t="shared" si="0"/>
        <v>4.2007540353493449E-5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5.5" customHeight="1" x14ac:dyDescent="0.35">
      <c r="A191" s="5"/>
      <c r="B191" s="20"/>
      <c r="C191" s="6"/>
      <c r="D191" s="6" t="s">
        <v>193</v>
      </c>
      <c r="E191" s="11">
        <v>4</v>
      </c>
      <c r="F191" s="19">
        <f t="shared" si="0"/>
        <v>4.2007540353493449E-5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5.5" customHeight="1" x14ac:dyDescent="0.35">
      <c r="A192" s="5"/>
      <c r="B192" s="20"/>
      <c r="C192" s="6"/>
      <c r="D192" s="6" t="s">
        <v>194</v>
      </c>
      <c r="E192" s="11">
        <v>4</v>
      </c>
      <c r="F192" s="19">
        <f t="shared" si="0"/>
        <v>4.2007540353493449E-5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5.5" customHeight="1" x14ac:dyDescent="0.35">
      <c r="A193" s="5"/>
      <c r="B193" s="20"/>
      <c r="C193" s="6"/>
      <c r="D193" s="6" t="s">
        <v>195</v>
      </c>
      <c r="E193" s="11">
        <v>4</v>
      </c>
      <c r="F193" s="19">
        <f t="shared" si="0"/>
        <v>4.2007540353493449E-5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5.5" customHeight="1" x14ac:dyDescent="0.35">
      <c r="A194" s="5"/>
      <c r="B194" s="20"/>
      <c r="C194" s="6"/>
      <c r="D194" s="6" t="s">
        <v>196</v>
      </c>
      <c r="E194" s="11">
        <v>4</v>
      </c>
      <c r="F194" s="19">
        <f t="shared" si="0"/>
        <v>4.2007540353493449E-5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5.5" customHeight="1" x14ac:dyDescent="0.35">
      <c r="A195" s="5"/>
      <c r="B195" s="20"/>
      <c r="C195" s="6"/>
      <c r="D195" s="6" t="s">
        <v>197</v>
      </c>
      <c r="E195" s="11">
        <v>4</v>
      </c>
      <c r="F195" s="19">
        <f t="shared" si="0"/>
        <v>4.2007540353493449E-5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5.5" customHeight="1" x14ac:dyDescent="0.35">
      <c r="A196" s="5"/>
      <c r="B196" s="20"/>
      <c r="C196" s="6"/>
      <c r="D196" s="6" t="s">
        <v>198</v>
      </c>
      <c r="E196" s="11">
        <v>4</v>
      </c>
      <c r="F196" s="19">
        <f t="shared" si="0"/>
        <v>4.2007540353493449E-5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5.5" customHeight="1" x14ac:dyDescent="0.35">
      <c r="A197" s="5"/>
      <c r="B197" s="20"/>
      <c r="C197" s="6"/>
      <c r="D197" s="6" t="s">
        <v>199</v>
      </c>
      <c r="E197" s="11">
        <v>4</v>
      </c>
      <c r="F197" s="19">
        <f t="shared" si="0"/>
        <v>4.2007540353493449E-5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5.5" customHeight="1" x14ac:dyDescent="0.35">
      <c r="A198" s="5"/>
      <c r="B198" s="20"/>
      <c r="C198" s="6"/>
      <c r="D198" s="6" t="s">
        <v>200</v>
      </c>
      <c r="E198" s="11">
        <v>4</v>
      </c>
      <c r="F198" s="19">
        <f t="shared" si="0"/>
        <v>4.2007540353493449E-5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5.5" customHeight="1" x14ac:dyDescent="0.35">
      <c r="A199" s="5"/>
      <c r="B199" s="20"/>
      <c r="C199" s="6"/>
      <c r="D199" s="6" t="s">
        <v>201</v>
      </c>
      <c r="E199" s="11">
        <v>4</v>
      </c>
      <c r="F199" s="19">
        <f t="shared" si="0"/>
        <v>4.2007540353493449E-5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5.5" customHeight="1" x14ac:dyDescent="0.35">
      <c r="A200" s="5"/>
      <c r="B200" s="20"/>
      <c r="C200" s="6"/>
      <c r="D200" s="6" t="s">
        <v>202</v>
      </c>
      <c r="E200" s="11">
        <v>4</v>
      </c>
      <c r="F200" s="19">
        <f t="shared" si="0"/>
        <v>4.2007540353493449E-5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5.5" customHeight="1" x14ac:dyDescent="0.35">
      <c r="A201" s="5"/>
      <c r="B201" s="20"/>
      <c r="C201" s="6"/>
      <c r="D201" s="6" t="s">
        <v>203</v>
      </c>
      <c r="E201" s="11">
        <v>4</v>
      </c>
      <c r="F201" s="19">
        <f t="shared" si="0"/>
        <v>4.2007540353493449E-5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5.5" customHeight="1" x14ac:dyDescent="0.35">
      <c r="A202" s="5"/>
      <c r="B202" s="20"/>
      <c r="C202" s="6"/>
      <c r="D202" s="6" t="s">
        <v>204</v>
      </c>
      <c r="E202" s="11">
        <v>4</v>
      </c>
      <c r="F202" s="19">
        <f t="shared" si="0"/>
        <v>4.2007540353493449E-5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5.5" customHeight="1" x14ac:dyDescent="0.35">
      <c r="A203" s="5"/>
      <c r="B203" s="20"/>
      <c r="C203" s="6"/>
      <c r="D203" s="6" t="s">
        <v>205</v>
      </c>
      <c r="E203" s="11">
        <v>4</v>
      </c>
      <c r="F203" s="19">
        <f t="shared" si="0"/>
        <v>4.2007540353493449E-5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5.5" customHeight="1" x14ac:dyDescent="0.35">
      <c r="A204" s="5"/>
      <c r="B204" s="20"/>
      <c r="C204" s="6"/>
      <c r="D204" s="6" t="s">
        <v>206</v>
      </c>
      <c r="E204" s="11">
        <v>4</v>
      </c>
      <c r="F204" s="19">
        <f t="shared" si="0"/>
        <v>4.2007540353493449E-5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5.5" customHeight="1" x14ac:dyDescent="0.35">
      <c r="A205" s="5"/>
      <c r="B205" s="20"/>
      <c r="C205" s="6"/>
      <c r="D205" s="6" t="s">
        <v>207</v>
      </c>
      <c r="E205" s="11">
        <v>4</v>
      </c>
      <c r="F205" s="19">
        <f t="shared" si="0"/>
        <v>4.2007540353493449E-5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5.5" customHeight="1" x14ac:dyDescent="0.35">
      <c r="A206" s="5"/>
      <c r="B206" s="20"/>
      <c r="C206" s="6"/>
      <c r="D206" s="6" t="s">
        <v>208</v>
      </c>
      <c r="E206" s="11">
        <v>4</v>
      </c>
      <c r="F206" s="19">
        <f t="shared" si="0"/>
        <v>4.2007540353493449E-5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5.5" customHeight="1" x14ac:dyDescent="0.35">
      <c r="A207" s="5"/>
      <c r="B207" s="20"/>
      <c r="C207" s="6"/>
      <c r="D207" s="6" t="s">
        <v>209</v>
      </c>
      <c r="E207" s="11">
        <v>4</v>
      </c>
      <c r="F207" s="19">
        <f t="shared" si="0"/>
        <v>4.2007540353493449E-5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5.5" customHeight="1" x14ac:dyDescent="0.35">
      <c r="A208" s="5"/>
      <c r="B208" s="20"/>
      <c r="C208" s="6"/>
      <c r="D208" s="6" t="s">
        <v>210</v>
      </c>
      <c r="E208" s="11">
        <v>4</v>
      </c>
      <c r="F208" s="19">
        <f t="shared" si="0"/>
        <v>4.2007540353493449E-5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5.5" customHeight="1" x14ac:dyDescent="0.35">
      <c r="A209" s="5"/>
      <c r="B209" s="20"/>
      <c r="C209" s="6"/>
      <c r="D209" s="6" t="s">
        <v>211</v>
      </c>
      <c r="E209" s="11">
        <v>4</v>
      </c>
      <c r="F209" s="19">
        <f t="shared" si="0"/>
        <v>4.2007540353493449E-5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5.5" customHeight="1" x14ac:dyDescent="0.35">
      <c r="A210" s="5"/>
      <c r="B210" s="20"/>
      <c r="C210" s="6"/>
      <c r="D210" s="6" t="s">
        <v>212</v>
      </c>
      <c r="E210" s="11">
        <v>4</v>
      </c>
      <c r="F210" s="19">
        <f t="shared" si="0"/>
        <v>4.2007540353493449E-5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5.5" customHeight="1" x14ac:dyDescent="0.35">
      <c r="A211" s="5"/>
      <c r="B211" s="20"/>
      <c r="C211" s="6"/>
      <c r="D211" s="6" t="s">
        <v>213</v>
      </c>
      <c r="E211" s="11">
        <v>4</v>
      </c>
      <c r="F211" s="19">
        <f t="shared" si="0"/>
        <v>4.2007540353493449E-5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35">
      <c r="A212" s="5"/>
      <c r="B212" s="20"/>
      <c r="C212" s="6"/>
      <c r="D212" s="6" t="s">
        <v>214</v>
      </c>
      <c r="E212" s="11">
        <v>4</v>
      </c>
      <c r="F212" s="19">
        <f t="shared" si="0"/>
        <v>4.2007540353493449E-5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35">
      <c r="A213" s="5"/>
      <c r="B213" s="20"/>
      <c r="C213" s="6"/>
      <c r="D213" s="6" t="s">
        <v>215</v>
      </c>
      <c r="E213" s="11">
        <v>4</v>
      </c>
      <c r="F213" s="19">
        <f t="shared" si="0"/>
        <v>4.2007540353493449E-5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5.5" customHeight="1" x14ac:dyDescent="0.35">
      <c r="A214" s="5"/>
      <c r="B214" s="20"/>
      <c r="C214" s="6"/>
      <c r="D214" s="6" t="s">
        <v>216</v>
      </c>
      <c r="E214" s="11">
        <v>4</v>
      </c>
      <c r="F214" s="19">
        <f t="shared" si="0"/>
        <v>4.2007540353493449E-5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5.5" customHeight="1" x14ac:dyDescent="0.35">
      <c r="A215" s="5"/>
      <c r="B215" s="20"/>
      <c r="C215" s="6"/>
      <c r="D215" s="6" t="s">
        <v>217</v>
      </c>
      <c r="E215" s="11">
        <v>4</v>
      </c>
      <c r="F215" s="19">
        <f t="shared" si="0"/>
        <v>4.2007540353493449E-5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5.5" customHeight="1" x14ac:dyDescent="0.35">
      <c r="A216" s="5"/>
      <c r="B216" s="20"/>
      <c r="C216" s="6"/>
      <c r="D216" s="6" t="s">
        <v>218</v>
      </c>
      <c r="E216" s="11">
        <v>4</v>
      </c>
      <c r="F216" s="19">
        <f t="shared" si="0"/>
        <v>4.2007540353493449E-5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5.5" customHeight="1" x14ac:dyDescent="0.35">
      <c r="A217" s="5"/>
      <c r="B217" s="20"/>
      <c r="C217" s="6"/>
      <c r="D217" s="6" t="s">
        <v>219</v>
      </c>
      <c r="E217" s="11">
        <v>4</v>
      </c>
      <c r="F217" s="19">
        <f t="shared" si="0"/>
        <v>4.2007540353493449E-5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5.5" customHeight="1" x14ac:dyDescent="0.35">
      <c r="A218" s="5"/>
      <c r="B218" s="20"/>
      <c r="C218" s="6"/>
      <c r="D218" s="6" t="s">
        <v>220</v>
      </c>
      <c r="E218" s="11">
        <v>4</v>
      </c>
      <c r="F218" s="19">
        <f t="shared" si="0"/>
        <v>4.2007540353493449E-5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5.5" customHeight="1" x14ac:dyDescent="0.35">
      <c r="A219" s="5"/>
      <c r="B219" s="20"/>
      <c r="C219" s="6"/>
      <c r="D219" s="6" t="s">
        <v>221</v>
      </c>
      <c r="E219" s="11">
        <v>4</v>
      </c>
      <c r="F219" s="19">
        <f t="shared" si="0"/>
        <v>4.2007540353493449E-5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5.5" customHeight="1" x14ac:dyDescent="0.35">
      <c r="A220" s="5"/>
      <c r="B220" s="20"/>
      <c r="C220" s="6"/>
      <c r="D220" s="6" t="s">
        <v>222</v>
      </c>
      <c r="E220" s="11">
        <v>4</v>
      </c>
      <c r="F220" s="19">
        <f t="shared" si="0"/>
        <v>4.2007540353493449E-5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5.5" customHeight="1" x14ac:dyDescent="0.35">
      <c r="A221" s="5"/>
      <c r="B221" s="20"/>
      <c r="C221" s="6"/>
      <c r="D221" s="6" t="s">
        <v>223</v>
      </c>
      <c r="E221" s="11">
        <v>4</v>
      </c>
      <c r="F221" s="19">
        <f t="shared" si="0"/>
        <v>4.2007540353493449E-5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5.5" customHeight="1" x14ac:dyDescent="0.35">
      <c r="A222" s="5"/>
      <c r="B222" s="20"/>
      <c r="C222" s="6"/>
      <c r="D222" s="6" t="s">
        <v>224</v>
      </c>
      <c r="E222" s="11">
        <v>3</v>
      </c>
      <c r="F222" s="19">
        <f t="shared" si="0"/>
        <v>3.1505655265120089E-5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.5" customHeight="1" x14ac:dyDescent="0.35">
      <c r="A223" s="5"/>
      <c r="B223" s="20"/>
      <c r="C223" s="6"/>
      <c r="D223" s="6" t="s">
        <v>225</v>
      </c>
      <c r="E223" s="11">
        <v>3</v>
      </c>
      <c r="F223" s="19">
        <f t="shared" si="0"/>
        <v>3.1505655265120089E-5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5.5" customHeight="1" x14ac:dyDescent="0.35">
      <c r="A224" s="5"/>
      <c r="B224" s="20"/>
      <c r="C224" s="6"/>
      <c r="D224" s="6" t="s">
        <v>226</v>
      </c>
      <c r="E224" s="11">
        <v>3</v>
      </c>
      <c r="F224" s="19">
        <f t="shared" si="0"/>
        <v>3.1505655265120089E-5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5.5" customHeight="1" x14ac:dyDescent="0.35">
      <c r="A225" s="5"/>
      <c r="B225" s="20"/>
      <c r="C225" s="6"/>
      <c r="D225" s="6" t="s">
        <v>227</v>
      </c>
      <c r="E225" s="11">
        <v>3</v>
      </c>
      <c r="F225" s="19">
        <f t="shared" si="0"/>
        <v>3.1505655265120089E-5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5.5" customHeight="1" x14ac:dyDescent="0.35">
      <c r="A226" s="5"/>
      <c r="B226" s="20"/>
      <c r="C226" s="6"/>
      <c r="D226" s="6" t="s">
        <v>228</v>
      </c>
      <c r="E226" s="11">
        <v>3</v>
      </c>
      <c r="F226" s="19">
        <f t="shared" si="0"/>
        <v>3.1505655265120089E-5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5.5" customHeight="1" x14ac:dyDescent="0.35">
      <c r="A227" s="5"/>
      <c r="B227" s="20"/>
      <c r="C227" s="6"/>
      <c r="D227" s="6" t="s">
        <v>229</v>
      </c>
      <c r="E227" s="11">
        <v>3</v>
      </c>
      <c r="F227" s="19">
        <f t="shared" si="0"/>
        <v>3.1505655265120089E-5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5.5" customHeight="1" x14ac:dyDescent="0.35">
      <c r="A228" s="5"/>
      <c r="B228" s="20"/>
      <c r="C228" s="6"/>
      <c r="D228" s="6" t="s">
        <v>230</v>
      </c>
      <c r="E228" s="11">
        <v>3</v>
      </c>
      <c r="F228" s="19">
        <f t="shared" si="0"/>
        <v>3.1505655265120089E-5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5.5" customHeight="1" x14ac:dyDescent="0.35">
      <c r="A229" s="5"/>
      <c r="B229" s="20"/>
      <c r="C229" s="6"/>
      <c r="D229" s="6" t="s">
        <v>231</v>
      </c>
      <c r="E229" s="11">
        <v>3</v>
      </c>
      <c r="F229" s="19">
        <f t="shared" si="0"/>
        <v>3.1505655265120089E-5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5.5" customHeight="1" x14ac:dyDescent="0.35">
      <c r="A230" s="5"/>
      <c r="B230" s="20"/>
      <c r="C230" s="6"/>
      <c r="D230" s="6" t="s">
        <v>232</v>
      </c>
      <c r="E230" s="11">
        <v>3</v>
      </c>
      <c r="F230" s="19">
        <f t="shared" si="0"/>
        <v>3.1505655265120089E-5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5.5" customHeight="1" x14ac:dyDescent="0.35">
      <c r="A231" s="5"/>
      <c r="B231" s="20"/>
      <c r="C231" s="6"/>
      <c r="D231" s="6" t="s">
        <v>233</v>
      </c>
      <c r="E231" s="11">
        <v>3</v>
      </c>
      <c r="F231" s="19">
        <f t="shared" si="0"/>
        <v>3.1505655265120089E-5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5.5" customHeight="1" x14ac:dyDescent="0.35">
      <c r="A232" s="5"/>
      <c r="B232" s="20"/>
      <c r="C232" s="6"/>
      <c r="D232" s="6" t="s">
        <v>234</v>
      </c>
      <c r="E232" s="11">
        <v>3</v>
      </c>
      <c r="F232" s="19">
        <f t="shared" si="0"/>
        <v>3.1505655265120089E-5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5.5" customHeight="1" x14ac:dyDescent="0.35">
      <c r="A233" s="5"/>
      <c r="B233" s="20"/>
      <c r="C233" s="6"/>
      <c r="D233" s="6" t="s">
        <v>235</v>
      </c>
      <c r="E233" s="11">
        <v>3</v>
      </c>
      <c r="F233" s="19">
        <f t="shared" si="0"/>
        <v>3.1505655265120089E-5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5.5" customHeight="1" x14ac:dyDescent="0.35">
      <c r="A234" s="5"/>
      <c r="B234" s="20"/>
      <c r="C234" s="6"/>
      <c r="D234" s="6" t="s">
        <v>236</v>
      </c>
      <c r="E234" s="11">
        <v>3</v>
      </c>
      <c r="F234" s="19">
        <f t="shared" si="0"/>
        <v>3.1505655265120089E-5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5.5" customHeight="1" x14ac:dyDescent="0.35">
      <c r="A235" s="5"/>
      <c r="B235" s="20"/>
      <c r="C235" s="6"/>
      <c r="D235" s="6" t="s">
        <v>237</v>
      </c>
      <c r="E235" s="11">
        <v>3</v>
      </c>
      <c r="F235" s="19">
        <f t="shared" si="0"/>
        <v>3.1505655265120089E-5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5.5" customHeight="1" x14ac:dyDescent="0.35">
      <c r="A236" s="5"/>
      <c r="B236" s="20"/>
      <c r="C236" s="6"/>
      <c r="D236" s="6" t="s">
        <v>238</v>
      </c>
      <c r="E236" s="11">
        <v>3</v>
      </c>
      <c r="F236" s="19">
        <f t="shared" si="0"/>
        <v>3.1505655265120089E-5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5.5" customHeight="1" x14ac:dyDescent="0.35">
      <c r="A237" s="5"/>
      <c r="B237" s="20"/>
      <c r="C237" s="6"/>
      <c r="D237" s="6" t="s">
        <v>239</v>
      </c>
      <c r="E237" s="11">
        <v>3</v>
      </c>
      <c r="F237" s="19">
        <f t="shared" si="0"/>
        <v>3.1505655265120089E-5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5.5" customHeight="1" x14ac:dyDescent="0.35">
      <c r="A238" s="5"/>
      <c r="B238" s="20"/>
      <c r="C238" s="6"/>
      <c r="D238" s="6" t="s">
        <v>240</v>
      </c>
      <c r="E238" s="11">
        <v>3</v>
      </c>
      <c r="F238" s="19">
        <f t="shared" si="0"/>
        <v>3.1505655265120089E-5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5.5" customHeight="1" x14ac:dyDescent="0.35">
      <c r="A239" s="5"/>
      <c r="B239" s="20"/>
      <c r="C239" s="6"/>
      <c r="D239" s="6" t="s">
        <v>241</v>
      </c>
      <c r="E239" s="11">
        <v>3</v>
      </c>
      <c r="F239" s="19">
        <f t="shared" si="0"/>
        <v>3.1505655265120089E-5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5.5" customHeight="1" x14ac:dyDescent="0.35">
      <c r="A240" s="5"/>
      <c r="B240" s="20"/>
      <c r="C240" s="6"/>
      <c r="D240" s="6" t="s">
        <v>242</v>
      </c>
      <c r="E240" s="11">
        <v>3</v>
      </c>
      <c r="F240" s="19">
        <f t="shared" si="0"/>
        <v>3.1505655265120089E-5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5.5" customHeight="1" x14ac:dyDescent="0.35">
      <c r="A241" s="5"/>
      <c r="B241" s="20"/>
      <c r="C241" s="6"/>
      <c r="D241" s="6" t="s">
        <v>243</v>
      </c>
      <c r="E241" s="11">
        <v>3</v>
      </c>
      <c r="F241" s="19">
        <f t="shared" si="0"/>
        <v>3.1505655265120089E-5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5.5" customHeight="1" x14ac:dyDescent="0.35">
      <c r="A242" s="5"/>
      <c r="B242" s="20"/>
      <c r="C242" s="6"/>
      <c r="D242" s="6" t="s">
        <v>244</v>
      </c>
      <c r="E242" s="11">
        <v>3</v>
      </c>
      <c r="F242" s="19">
        <f t="shared" si="0"/>
        <v>3.1505655265120089E-5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5.5" customHeight="1" x14ac:dyDescent="0.35">
      <c r="A243" s="5"/>
      <c r="B243" s="20"/>
      <c r="C243" s="6"/>
      <c r="D243" s="6" t="s">
        <v>245</v>
      </c>
      <c r="E243" s="11">
        <v>3</v>
      </c>
      <c r="F243" s="19">
        <f t="shared" si="0"/>
        <v>3.1505655265120089E-5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5.5" customHeight="1" x14ac:dyDescent="0.35">
      <c r="A244" s="5"/>
      <c r="B244" s="20"/>
      <c r="C244" s="6"/>
      <c r="D244" s="6" t="s">
        <v>246</v>
      </c>
      <c r="E244" s="11">
        <v>3</v>
      </c>
      <c r="F244" s="19">
        <f t="shared" si="0"/>
        <v>3.1505655265120089E-5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5.5" customHeight="1" x14ac:dyDescent="0.35">
      <c r="A245" s="5"/>
      <c r="B245" s="20"/>
      <c r="C245" s="6"/>
      <c r="D245" s="6" t="s">
        <v>247</v>
      </c>
      <c r="E245" s="11">
        <v>3</v>
      </c>
      <c r="F245" s="19">
        <f t="shared" si="0"/>
        <v>3.1505655265120089E-5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.5" customHeight="1" x14ac:dyDescent="0.35">
      <c r="A246" s="5"/>
      <c r="B246" s="20"/>
      <c r="C246" s="6"/>
      <c r="D246" s="6" t="s">
        <v>248</v>
      </c>
      <c r="E246" s="11">
        <v>3</v>
      </c>
      <c r="F246" s="19">
        <f t="shared" si="0"/>
        <v>3.1505655265120089E-5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5.5" customHeight="1" x14ac:dyDescent="0.35">
      <c r="A247" s="5"/>
      <c r="B247" s="20"/>
      <c r="C247" s="6"/>
      <c r="D247" s="6" t="s">
        <v>249</v>
      </c>
      <c r="E247" s="11">
        <v>3</v>
      </c>
      <c r="F247" s="19">
        <f t="shared" si="0"/>
        <v>3.1505655265120089E-5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5.5" customHeight="1" x14ac:dyDescent="0.35">
      <c r="A248" s="5"/>
      <c r="B248" s="20"/>
      <c r="C248" s="6"/>
      <c r="D248" s="6" t="s">
        <v>250</v>
      </c>
      <c r="E248" s="11">
        <v>3</v>
      </c>
      <c r="F248" s="19">
        <f t="shared" si="0"/>
        <v>3.1505655265120089E-5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5.5" customHeight="1" x14ac:dyDescent="0.35">
      <c r="A249" s="5"/>
      <c r="B249" s="20"/>
      <c r="C249" s="6"/>
      <c r="D249" s="6" t="s">
        <v>251</v>
      </c>
      <c r="E249" s="11">
        <v>3</v>
      </c>
      <c r="F249" s="19">
        <f t="shared" si="0"/>
        <v>3.1505655265120089E-5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5.5" customHeight="1" x14ac:dyDescent="0.35">
      <c r="A250" s="5"/>
      <c r="B250" s="20"/>
      <c r="C250" s="6"/>
      <c r="D250" s="6" t="s">
        <v>252</v>
      </c>
      <c r="E250" s="11">
        <v>3</v>
      </c>
      <c r="F250" s="19">
        <f t="shared" si="0"/>
        <v>3.1505655265120089E-5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5.5" customHeight="1" x14ac:dyDescent="0.35">
      <c r="A251" s="5"/>
      <c r="B251" s="20"/>
      <c r="C251" s="6"/>
      <c r="D251" s="6" t="s">
        <v>253</v>
      </c>
      <c r="E251" s="11">
        <v>3</v>
      </c>
      <c r="F251" s="19">
        <f t="shared" si="0"/>
        <v>3.1505655265120089E-5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5.5" customHeight="1" x14ac:dyDescent="0.35">
      <c r="A252" s="5"/>
      <c r="B252" s="20"/>
      <c r="C252" s="6"/>
      <c r="D252" s="6" t="s">
        <v>254</v>
      </c>
      <c r="E252" s="11">
        <v>3</v>
      </c>
      <c r="F252" s="19">
        <f t="shared" si="0"/>
        <v>3.1505655265120089E-5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5.5" customHeight="1" x14ac:dyDescent="0.35">
      <c r="A253" s="5"/>
      <c r="B253" s="20"/>
      <c r="C253" s="6"/>
      <c r="D253" s="6" t="s">
        <v>255</v>
      </c>
      <c r="E253" s="11">
        <v>3</v>
      </c>
      <c r="F253" s="19">
        <f t="shared" si="0"/>
        <v>3.1505655265120089E-5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5.5" customHeight="1" x14ac:dyDescent="0.35">
      <c r="A254" s="5"/>
      <c r="B254" s="20"/>
      <c r="C254" s="6"/>
      <c r="D254" s="6" t="s">
        <v>256</v>
      </c>
      <c r="E254" s="11">
        <v>3</v>
      </c>
      <c r="F254" s="19">
        <f t="shared" si="0"/>
        <v>3.1505655265120089E-5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5.5" customHeight="1" x14ac:dyDescent="0.35">
      <c r="A255" s="5"/>
      <c r="B255" s="20"/>
      <c r="C255" s="6"/>
      <c r="D255" s="6" t="s">
        <v>257</v>
      </c>
      <c r="E255" s="11">
        <v>3</v>
      </c>
      <c r="F255" s="19">
        <f t="shared" si="0"/>
        <v>3.1505655265120089E-5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5.5" customHeight="1" x14ac:dyDescent="0.35">
      <c r="A256" s="5"/>
      <c r="B256" s="20"/>
      <c r="C256" s="6"/>
      <c r="D256" s="6" t="s">
        <v>258</v>
      </c>
      <c r="E256" s="11">
        <v>3</v>
      </c>
      <c r="F256" s="19">
        <f t="shared" si="0"/>
        <v>3.1505655265120089E-5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5.5" customHeight="1" x14ac:dyDescent="0.35">
      <c r="A257" s="5"/>
      <c r="B257" s="20"/>
      <c r="C257" s="6"/>
      <c r="D257" s="6" t="s">
        <v>259</v>
      </c>
      <c r="E257" s="11">
        <v>3</v>
      </c>
      <c r="F257" s="19">
        <f t="shared" si="0"/>
        <v>3.1505655265120089E-5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5.5" customHeight="1" x14ac:dyDescent="0.35">
      <c r="A258" s="5"/>
      <c r="B258" s="18">
        <f>IF(MOD(ROW()-8,250)=0,SUM($E$9:E258) /$E$6,"")</f>
        <v>0.98947711114144987</v>
      </c>
      <c r="C258" s="6"/>
      <c r="D258" s="6" t="s">
        <v>260</v>
      </c>
      <c r="E258" s="11">
        <v>3</v>
      </c>
      <c r="F258" s="19">
        <f t="shared" si="0"/>
        <v>3.1505655265120089E-5</v>
      </c>
      <c r="G258" s="6" t="s">
        <v>261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5.5" customHeight="1" x14ac:dyDescent="0.35">
      <c r="A259" s="5"/>
      <c r="B259" s="18"/>
      <c r="C259" s="6"/>
      <c r="D259" s="6" t="s">
        <v>262</v>
      </c>
      <c r="E259" s="11">
        <v>3</v>
      </c>
      <c r="F259" s="19">
        <f t="shared" si="0"/>
        <v>3.1505655265120089E-5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35">
      <c r="A260" s="5"/>
      <c r="B260" s="20"/>
      <c r="C260" s="6"/>
      <c r="D260" s="6" t="s">
        <v>263</v>
      </c>
      <c r="E260" s="11">
        <v>3</v>
      </c>
      <c r="F260" s="19">
        <f t="shared" si="0"/>
        <v>3.1505655265120089E-5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35">
      <c r="A261" s="5"/>
      <c r="B261" s="20"/>
      <c r="C261" s="6"/>
      <c r="D261" s="6" t="s">
        <v>264</v>
      </c>
      <c r="E261" s="11">
        <v>3</v>
      </c>
      <c r="F261" s="19">
        <f t="shared" si="0"/>
        <v>3.1505655265120089E-5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5.5" customHeight="1" x14ac:dyDescent="0.35">
      <c r="A262" s="5"/>
      <c r="B262" s="20"/>
      <c r="C262" s="6"/>
      <c r="D262" s="6" t="s">
        <v>265</v>
      </c>
      <c r="E262" s="11">
        <v>3</v>
      </c>
      <c r="F262" s="19">
        <f t="shared" si="0"/>
        <v>3.1505655265120089E-5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5.5" customHeight="1" x14ac:dyDescent="0.35">
      <c r="A263" s="5"/>
      <c r="B263" s="20"/>
      <c r="C263" s="6"/>
      <c r="D263" s="6" t="s">
        <v>266</v>
      </c>
      <c r="E263" s="11">
        <v>3</v>
      </c>
      <c r="F263" s="19">
        <f t="shared" si="0"/>
        <v>3.1505655265120089E-5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5.5" customHeight="1" x14ac:dyDescent="0.35">
      <c r="A264" s="5"/>
      <c r="B264" s="20"/>
      <c r="C264" s="6"/>
      <c r="D264" s="6" t="s">
        <v>267</v>
      </c>
      <c r="E264" s="11">
        <v>3</v>
      </c>
      <c r="F264" s="19">
        <f t="shared" ref="F264:F518" si="1">E264/$E$6</f>
        <v>3.1505655265120089E-5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5.5" customHeight="1" x14ac:dyDescent="0.35">
      <c r="A265" s="5"/>
      <c r="B265" s="20"/>
      <c r="C265" s="6"/>
      <c r="D265" s="6" t="s">
        <v>268</v>
      </c>
      <c r="E265" s="11">
        <v>3</v>
      </c>
      <c r="F265" s="19">
        <f t="shared" si="1"/>
        <v>3.1505655265120089E-5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5.5" customHeight="1" x14ac:dyDescent="0.35">
      <c r="A266" s="5"/>
      <c r="B266" s="20"/>
      <c r="C266" s="6"/>
      <c r="D266" s="6" t="s">
        <v>269</v>
      </c>
      <c r="E266" s="11">
        <v>3</v>
      </c>
      <c r="F266" s="19">
        <f t="shared" si="1"/>
        <v>3.1505655265120089E-5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5.5" customHeight="1" x14ac:dyDescent="0.35">
      <c r="A267" s="5"/>
      <c r="B267" s="20"/>
      <c r="C267" s="6"/>
      <c r="D267" s="6" t="s">
        <v>270</v>
      </c>
      <c r="E267" s="11">
        <v>3</v>
      </c>
      <c r="F267" s="19">
        <f t="shared" si="1"/>
        <v>3.1505655265120089E-5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5.5" customHeight="1" x14ac:dyDescent="0.35">
      <c r="A268" s="5"/>
      <c r="B268" s="20"/>
      <c r="C268" s="6"/>
      <c r="D268" s="6" t="s">
        <v>271</v>
      </c>
      <c r="E268" s="11">
        <v>3</v>
      </c>
      <c r="F268" s="19">
        <f t="shared" si="1"/>
        <v>3.1505655265120089E-5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5.5" customHeight="1" x14ac:dyDescent="0.35">
      <c r="A269" s="5"/>
      <c r="B269" s="20"/>
      <c r="C269" s="6"/>
      <c r="D269" s="6" t="s">
        <v>272</v>
      </c>
      <c r="E269" s="11">
        <v>3</v>
      </c>
      <c r="F269" s="19">
        <f t="shared" si="1"/>
        <v>3.1505655265120089E-5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5.5" customHeight="1" x14ac:dyDescent="0.35">
      <c r="A270" s="5"/>
      <c r="B270" s="20"/>
      <c r="C270" s="6"/>
      <c r="D270" s="6" t="s">
        <v>273</v>
      </c>
      <c r="E270" s="11">
        <v>3</v>
      </c>
      <c r="F270" s="19">
        <f t="shared" si="1"/>
        <v>3.1505655265120089E-5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5.5" customHeight="1" x14ac:dyDescent="0.35">
      <c r="A271" s="5"/>
      <c r="B271" s="20"/>
      <c r="C271" s="6"/>
      <c r="D271" s="6" t="s">
        <v>274</v>
      </c>
      <c r="E271" s="11">
        <v>3</v>
      </c>
      <c r="F271" s="19">
        <f t="shared" si="1"/>
        <v>3.1505655265120089E-5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5.5" customHeight="1" x14ac:dyDescent="0.35">
      <c r="A272" s="5"/>
      <c r="B272" s="20"/>
      <c r="C272" s="6"/>
      <c r="D272" s="6" t="s">
        <v>275</v>
      </c>
      <c r="E272" s="11">
        <v>3</v>
      </c>
      <c r="F272" s="19">
        <f t="shared" si="1"/>
        <v>3.1505655265120089E-5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5.5" customHeight="1" x14ac:dyDescent="0.35">
      <c r="A273" s="5"/>
      <c r="B273" s="20"/>
      <c r="C273" s="6"/>
      <c r="D273" s="6" t="s">
        <v>276</v>
      </c>
      <c r="E273" s="11">
        <v>3</v>
      </c>
      <c r="F273" s="19">
        <f t="shared" si="1"/>
        <v>3.1505655265120089E-5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5.5" customHeight="1" x14ac:dyDescent="0.35">
      <c r="A274" s="5"/>
      <c r="B274" s="20"/>
      <c r="C274" s="6"/>
      <c r="D274" s="6" t="s">
        <v>277</v>
      </c>
      <c r="E274" s="11">
        <v>3</v>
      </c>
      <c r="F274" s="19">
        <f t="shared" si="1"/>
        <v>3.1505655265120089E-5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5.5" customHeight="1" x14ac:dyDescent="0.35">
      <c r="A275" s="5"/>
      <c r="B275" s="20"/>
      <c r="C275" s="6"/>
      <c r="D275" s="6" t="s">
        <v>278</v>
      </c>
      <c r="E275" s="11">
        <v>3</v>
      </c>
      <c r="F275" s="19">
        <f t="shared" si="1"/>
        <v>3.1505655265120089E-5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5.5" customHeight="1" x14ac:dyDescent="0.35">
      <c r="A276" s="5"/>
      <c r="B276" s="20"/>
      <c r="C276" s="6"/>
      <c r="D276" s="6" t="s">
        <v>279</v>
      </c>
      <c r="E276" s="11">
        <v>3</v>
      </c>
      <c r="F276" s="19">
        <f t="shared" si="1"/>
        <v>3.1505655265120089E-5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5.5" customHeight="1" x14ac:dyDescent="0.35">
      <c r="A277" s="5"/>
      <c r="B277" s="20"/>
      <c r="C277" s="6"/>
      <c r="D277" s="6" t="s">
        <v>280</v>
      </c>
      <c r="E277" s="11">
        <v>3</v>
      </c>
      <c r="F277" s="19">
        <f t="shared" si="1"/>
        <v>3.1505655265120089E-5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5.5" customHeight="1" x14ac:dyDescent="0.35">
      <c r="A278" s="5"/>
      <c r="B278" s="20"/>
      <c r="C278" s="6"/>
      <c r="D278" s="6" t="s">
        <v>281</v>
      </c>
      <c r="E278" s="11">
        <v>3</v>
      </c>
      <c r="F278" s="19">
        <f t="shared" si="1"/>
        <v>3.1505655265120089E-5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5.5" customHeight="1" x14ac:dyDescent="0.35">
      <c r="A279" s="5"/>
      <c r="B279" s="20"/>
      <c r="C279" s="6"/>
      <c r="D279" s="6" t="s">
        <v>282</v>
      </c>
      <c r="E279" s="11">
        <v>3</v>
      </c>
      <c r="F279" s="19">
        <f t="shared" si="1"/>
        <v>3.1505655265120089E-5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5.5" customHeight="1" x14ac:dyDescent="0.35">
      <c r="A280" s="5"/>
      <c r="B280" s="20"/>
      <c r="C280" s="6"/>
      <c r="D280" s="6" t="s">
        <v>283</v>
      </c>
      <c r="E280" s="11">
        <v>3</v>
      </c>
      <c r="F280" s="19">
        <f t="shared" si="1"/>
        <v>3.1505655265120089E-5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5.5" customHeight="1" x14ac:dyDescent="0.35">
      <c r="A281" s="5"/>
      <c r="B281" s="20"/>
      <c r="C281" s="6"/>
      <c r="D281" s="6" t="s">
        <v>284</v>
      </c>
      <c r="E281" s="11">
        <v>3</v>
      </c>
      <c r="F281" s="19">
        <f t="shared" si="1"/>
        <v>3.1505655265120089E-5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5.5" customHeight="1" x14ac:dyDescent="0.35">
      <c r="A282" s="5"/>
      <c r="B282" s="20"/>
      <c r="C282" s="6"/>
      <c r="D282" s="6" t="s">
        <v>285</v>
      </c>
      <c r="E282" s="11">
        <v>3</v>
      </c>
      <c r="F282" s="19">
        <f t="shared" si="1"/>
        <v>3.1505655265120089E-5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5.5" customHeight="1" x14ac:dyDescent="0.35">
      <c r="A283" s="5"/>
      <c r="B283" s="20"/>
      <c r="C283" s="6"/>
      <c r="D283" s="6" t="s">
        <v>286</v>
      </c>
      <c r="E283" s="11">
        <v>3</v>
      </c>
      <c r="F283" s="19">
        <f t="shared" si="1"/>
        <v>3.1505655265120089E-5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5.5" customHeight="1" x14ac:dyDescent="0.35">
      <c r="A284" s="5"/>
      <c r="B284" s="20"/>
      <c r="C284" s="6"/>
      <c r="D284" s="6" t="s">
        <v>287</v>
      </c>
      <c r="E284" s="11">
        <v>3</v>
      </c>
      <c r="F284" s="19">
        <f t="shared" si="1"/>
        <v>3.1505655265120089E-5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5.5" customHeight="1" x14ac:dyDescent="0.35">
      <c r="A285" s="5"/>
      <c r="B285" s="20"/>
      <c r="C285" s="6"/>
      <c r="D285" s="6" t="s">
        <v>288</v>
      </c>
      <c r="E285" s="11">
        <v>3</v>
      </c>
      <c r="F285" s="19">
        <f t="shared" si="1"/>
        <v>3.1505655265120089E-5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5.5" customHeight="1" x14ac:dyDescent="0.35">
      <c r="A286" s="5"/>
      <c r="B286" s="20"/>
      <c r="C286" s="6"/>
      <c r="D286" s="6" t="s">
        <v>289</v>
      </c>
      <c r="E286" s="11">
        <v>3</v>
      </c>
      <c r="F286" s="19">
        <f t="shared" si="1"/>
        <v>3.1505655265120089E-5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5.5" customHeight="1" x14ac:dyDescent="0.35">
      <c r="A287" s="5"/>
      <c r="B287" s="20"/>
      <c r="C287" s="6"/>
      <c r="D287" s="6" t="s">
        <v>290</v>
      </c>
      <c r="E287" s="11">
        <v>3</v>
      </c>
      <c r="F287" s="19">
        <f t="shared" si="1"/>
        <v>3.1505655265120089E-5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5.5" customHeight="1" x14ac:dyDescent="0.35">
      <c r="A288" s="5"/>
      <c r="B288" s="20"/>
      <c r="C288" s="6"/>
      <c r="D288" s="6" t="s">
        <v>291</v>
      </c>
      <c r="E288" s="11">
        <v>3</v>
      </c>
      <c r="F288" s="19">
        <f t="shared" si="1"/>
        <v>3.1505655265120089E-5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5.5" customHeight="1" x14ac:dyDescent="0.35">
      <c r="A289" s="5"/>
      <c r="B289" s="20"/>
      <c r="C289" s="6"/>
      <c r="D289" s="6" t="s">
        <v>292</v>
      </c>
      <c r="E289" s="11">
        <v>3</v>
      </c>
      <c r="F289" s="19">
        <f t="shared" si="1"/>
        <v>3.1505655265120089E-5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5.5" customHeight="1" x14ac:dyDescent="0.35">
      <c r="A290" s="5"/>
      <c r="B290" s="20"/>
      <c r="C290" s="6"/>
      <c r="D290" s="6" t="s">
        <v>293</v>
      </c>
      <c r="E290" s="11">
        <v>2</v>
      </c>
      <c r="F290" s="19">
        <f t="shared" si="1"/>
        <v>2.1003770176746725E-5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5.5" customHeight="1" x14ac:dyDescent="0.35">
      <c r="A291" s="5"/>
      <c r="B291" s="20"/>
      <c r="C291" s="6"/>
      <c r="D291" s="6" t="s">
        <v>294</v>
      </c>
      <c r="E291" s="11">
        <v>2</v>
      </c>
      <c r="F291" s="19">
        <f t="shared" si="1"/>
        <v>2.1003770176746725E-5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5.5" customHeight="1" x14ac:dyDescent="0.35">
      <c r="A292" s="5"/>
      <c r="B292" s="20"/>
      <c r="C292" s="6"/>
      <c r="D292" s="6" t="s">
        <v>295</v>
      </c>
      <c r="E292" s="11">
        <v>2</v>
      </c>
      <c r="F292" s="19">
        <f t="shared" si="1"/>
        <v>2.1003770176746725E-5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5.5" customHeight="1" x14ac:dyDescent="0.35">
      <c r="A293" s="5"/>
      <c r="B293" s="20"/>
      <c r="C293" s="6"/>
      <c r="D293" s="6" t="s">
        <v>296</v>
      </c>
      <c r="E293" s="11">
        <v>2</v>
      </c>
      <c r="F293" s="19">
        <f t="shared" si="1"/>
        <v>2.1003770176746725E-5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5.5" customHeight="1" x14ac:dyDescent="0.35">
      <c r="A294" s="5"/>
      <c r="B294" s="20"/>
      <c r="C294" s="6"/>
      <c r="D294" s="6" t="s">
        <v>297</v>
      </c>
      <c r="E294" s="11">
        <v>2</v>
      </c>
      <c r="F294" s="19">
        <f t="shared" si="1"/>
        <v>2.1003770176746725E-5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5.5" customHeight="1" x14ac:dyDescent="0.35">
      <c r="A295" s="5"/>
      <c r="B295" s="20"/>
      <c r="C295" s="6"/>
      <c r="D295" s="6" t="s">
        <v>298</v>
      </c>
      <c r="E295" s="11">
        <v>2</v>
      </c>
      <c r="F295" s="19">
        <f t="shared" si="1"/>
        <v>2.1003770176746725E-5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5.5" customHeight="1" x14ac:dyDescent="0.35">
      <c r="A296" s="5"/>
      <c r="B296" s="20"/>
      <c r="C296" s="6"/>
      <c r="D296" s="6" t="s">
        <v>299</v>
      </c>
      <c r="E296" s="11">
        <v>2</v>
      </c>
      <c r="F296" s="19">
        <f t="shared" si="1"/>
        <v>2.1003770176746725E-5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5.5" customHeight="1" x14ac:dyDescent="0.35">
      <c r="A297" s="5"/>
      <c r="B297" s="20"/>
      <c r="C297" s="6"/>
      <c r="D297" s="6" t="s">
        <v>300</v>
      </c>
      <c r="E297" s="11">
        <v>2</v>
      </c>
      <c r="F297" s="19">
        <f t="shared" si="1"/>
        <v>2.1003770176746725E-5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5.5" customHeight="1" x14ac:dyDescent="0.35">
      <c r="A298" s="5"/>
      <c r="B298" s="20"/>
      <c r="C298" s="6"/>
      <c r="D298" s="6" t="s">
        <v>301</v>
      </c>
      <c r="E298" s="11">
        <v>2</v>
      </c>
      <c r="F298" s="19">
        <f t="shared" si="1"/>
        <v>2.1003770176746725E-5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5.5" customHeight="1" x14ac:dyDescent="0.35">
      <c r="A299" s="5"/>
      <c r="B299" s="20"/>
      <c r="C299" s="6"/>
      <c r="D299" s="6" t="s">
        <v>302</v>
      </c>
      <c r="E299" s="11">
        <v>2</v>
      </c>
      <c r="F299" s="19">
        <f t="shared" si="1"/>
        <v>2.1003770176746725E-5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5.5" customHeight="1" x14ac:dyDescent="0.35">
      <c r="A300" s="5"/>
      <c r="B300" s="20"/>
      <c r="C300" s="6"/>
      <c r="D300" s="6" t="s">
        <v>303</v>
      </c>
      <c r="E300" s="11">
        <v>2</v>
      </c>
      <c r="F300" s="19">
        <f t="shared" si="1"/>
        <v>2.1003770176746725E-5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5.5" customHeight="1" x14ac:dyDescent="0.35">
      <c r="A301" s="5"/>
      <c r="B301" s="20"/>
      <c r="C301" s="6"/>
      <c r="D301" s="6" t="s">
        <v>304</v>
      </c>
      <c r="E301" s="11">
        <v>2</v>
      </c>
      <c r="F301" s="19">
        <f t="shared" si="1"/>
        <v>2.1003770176746725E-5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5.5" customHeight="1" x14ac:dyDescent="0.35">
      <c r="A302" s="5"/>
      <c r="B302" s="20"/>
      <c r="C302" s="6"/>
      <c r="D302" s="6" t="s">
        <v>305</v>
      </c>
      <c r="E302" s="11">
        <v>2</v>
      </c>
      <c r="F302" s="19">
        <f t="shared" si="1"/>
        <v>2.1003770176746725E-5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5.5" customHeight="1" x14ac:dyDescent="0.35">
      <c r="A303" s="5"/>
      <c r="B303" s="20"/>
      <c r="C303" s="6"/>
      <c r="D303" s="6" t="s">
        <v>306</v>
      </c>
      <c r="E303" s="11">
        <v>2</v>
      </c>
      <c r="F303" s="19">
        <f t="shared" si="1"/>
        <v>2.1003770176746725E-5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5.5" customHeight="1" x14ac:dyDescent="0.35">
      <c r="A304" s="5"/>
      <c r="B304" s="20"/>
      <c r="C304" s="6"/>
      <c r="D304" s="6" t="s">
        <v>307</v>
      </c>
      <c r="E304" s="11">
        <v>2</v>
      </c>
      <c r="F304" s="19">
        <f t="shared" si="1"/>
        <v>2.1003770176746725E-5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5.5" customHeight="1" x14ac:dyDescent="0.35">
      <c r="A305" s="5"/>
      <c r="B305" s="20"/>
      <c r="C305" s="6"/>
      <c r="D305" s="6" t="s">
        <v>308</v>
      </c>
      <c r="E305" s="11">
        <v>2</v>
      </c>
      <c r="F305" s="19">
        <f t="shared" si="1"/>
        <v>2.1003770176746725E-5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5.5" customHeight="1" x14ac:dyDescent="0.35">
      <c r="A306" s="5"/>
      <c r="B306" s="20"/>
      <c r="C306" s="6"/>
      <c r="D306" s="6" t="s">
        <v>309</v>
      </c>
      <c r="E306" s="11">
        <v>2</v>
      </c>
      <c r="F306" s="19">
        <f t="shared" si="1"/>
        <v>2.1003770176746725E-5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5.5" customHeight="1" x14ac:dyDescent="0.35">
      <c r="A307" s="5"/>
      <c r="B307" s="20"/>
      <c r="C307" s="6"/>
      <c r="D307" s="6" t="s">
        <v>310</v>
      </c>
      <c r="E307" s="11">
        <v>2</v>
      </c>
      <c r="F307" s="19">
        <f t="shared" si="1"/>
        <v>2.1003770176746725E-5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5.5" customHeight="1" x14ac:dyDescent="0.35">
      <c r="A308" s="5"/>
      <c r="B308" s="20"/>
      <c r="C308" s="6"/>
      <c r="D308" s="6" t="s">
        <v>311</v>
      </c>
      <c r="E308" s="11">
        <v>2</v>
      </c>
      <c r="F308" s="19">
        <f t="shared" si="1"/>
        <v>2.1003770176746725E-5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5.5" customHeight="1" x14ac:dyDescent="0.35">
      <c r="A309" s="5"/>
      <c r="B309" s="20"/>
      <c r="C309" s="6"/>
      <c r="D309" s="6" t="s">
        <v>312</v>
      </c>
      <c r="E309" s="11">
        <v>2</v>
      </c>
      <c r="F309" s="19">
        <f t="shared" si="1"/>
        <v>2.1003770176746725E-5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5.5" customHeight="1" x14ac:dyDescent="0.35">
      <c r="A310" s="5"/>
      <c r="B310" s="20"/>
      <c r="C310" s="6"/>
      <c r="D310" s="6" t="s">
        <v>313</v>
      </c>
      <c r="E310" s="11">
        <v>2</v>
      </c>
      <c r="F310" s="19">
        <f t="shared" si="1"/>
        <v>2.1003770176746725E-5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5.5" customHeight="1" x14ac:dyDescent="0.35">
      <c r="A311" s="5"/>
      <c r="B311" s="20"/>
      <c r="C311" s="6"/>
      <c r="D311" s="6" t="s">
        <v>314</v>
      </c>
      <c r="E311" s="11">
        <v>2</v>
      </c>
      <c r="F311" s="19">
        <f t="shared" si="1"/>
        <v>2.1003770176746725E-5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5.5" customHeight="1" x14ac:dyDescent="0.35">
      <c r="A312" s="5"/>
      <c r="B312" s="20"/>
      <c r="C312" s="6"/>
      <c r="D312" s="6" t="s">
        <v>315</v>
      </c>
      <c r="E312" s="11">
        <v>2</v>
      </c>
      <c r="F312" s="19">
        <f t="shared" si="1"/>
        <v>2.1003770176746725E-5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5.5" customHeight="1" x14ac:dyDescent="0.35">
      <c r="A313" s="5"/>
      <c r="B313" s="20"/>
      <c r="C313" s="6"/>
      <c r="D313" s="6" t="s">
        <v>316</v>
      </c>
      <c r="E313" s="11">
        <v>2</v>
      </c>
      <c r="F313" s="19">
        <f t="shared" si="1"/>
        <v>2.1003770176746725E-5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5.5" customHeight="1" x14ac:dyDescent="0.35">
      <c r="A314" s="5"/>
      <c r="B314" s="20"/>
      <c r="C314" s="6"/>
      <c r="D314" s="6" t="s">
        <v>317</v>
      </c>
      <c r="E314" s="11">
        <v>2</v>
      </c>
      <c r="F314" s="19">
        <f t="shared" si="1"/>
        <v>2.1003770176746725E-5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5.5" customHeight="1" x14ac:dyDescent="0.35">
      <c r="A315" s="5"/>
      <c r="B315" s="18"/>
      <c r="C315" s="6"/>
      <c r="D315" s="6" t="s">
        <v>318</v>
      </c>
      <c r="E315" s="11">
        <v>2</v>
      </c>
      <c r="F315" s="19">
        <f t="shared" si="1"/>
        <v>2.1003770176746725E-5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5.5" customHeight="1" x14ac:dyDescent="0.35">
      <c r="A316" s="5"/>
      <c r="B316" s="20"/>
      <c r="C316" s="6"/>
      <c r="D316" s="6" t="s">
        <v>319</v>
      </c>
      <c r="E316" s="11">
        <v>2</v>
      </c>
      <c r="F316" s="19">
        <f t="shared" si="1"/>
        <v>2.1003770176746725E-5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5.5" customHeight="1" x14ac:dyDescent="0.35">
      <c r="A317" s="5"/>
      <c r="B317" s="20"/>
      <c r="C317" s="6"/>
      <c r="D317" s="6" t="s">
        <v>320</v>
      </c>
      <c r="E317" s="11">
        <v>2</v>
      </c>
      <c r="F317" s="19">
        <f t="shared" si="1"/>
        <v>2.1003770176746725E-5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5.5" customHeight="1" x14ac:dyDescent="0.35">
      <c r="A318" s="5"/>
      <c r="B318" s="20"/>
      <c r="C318" s="6"/>
      <c r="D318" s="6" t="s">
        <v>321</v>
      </c>
      <c r="E318" s="11">
        <v>2</v>
      </c>
      <c r="F318" s="19">
        <f t="shared" si="1"/>
        <v>2.1003770176746725E-5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5.5" customHeight="1" x14ac:dyDescent="0.35">
      <c r="A319" s="5"/>
      <c r="B319" s="20"/>
      <c r="C319" s="6"/>
      <c r="D319" s="6" t="s">
        <v>322</v>
      </c>
      <c r="E319" s="11">
        <v>2</v>
      </c>
      <c r="F319" s="19">
        <f t="shared" si="1"/>
        <v>2.1003770176746725E-5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5.5" customHeight="1" x14ac:dyDescent="0.35">
      <c r="A320" s="5"/>
      <c r="B320" s="20"/>
      <c r="C320" s="6"/>
      <c r="D320" s="6" t="s">
        <v>323</v>
      </c>
      <c r="E320" s="11">
        <v>2</v>
      </c>
      <c r="F320" s="19">
        <f t="shared" si="1"/>
        <v>2.1003770176746725E-5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5.5" customHeight="1" x14ac:dyDescent="0.35">
      <c r="A321" s="5"/>
      <c r="B321" s="20"/>
      <c r="C321" s="6"/>
      <c r="D321" s="6" t="s">
        <v>324</v>
      </c>
      <c r="E321" s="11">
        <v>2</v>
      </c>
      <c r="F321" s="19">
        <f t="shared" si="1"/>
        <v>2.1003770176746725E-5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5.5" customHeight="1" x14ac:dyDescent="0.35">
      <c r="A322" s="5"/>
      <c r="B322" s="20"/>
      <c r="C322" s="6"/>
      <c r="D322" s="6" t="s">
        <v>325</v>
      </c>
      <c r="E322" s="11">
        <v>2</v>
      </c>
      <c r="F322" s="19">
        <f t="shared" si="1"/>
        <v>2.1003770176746725E-5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5.5" customHeight="1" x14ac:dyDescent="0.35">
      <c r="A323" s="5"/>
      <c r="B323" s="20"/>
      <c r="C323" s="6"/>
      <c r="D323" s="6" t="s">
        <v>326</v>
      </c>
      <c r="E323" s="11">
        <v>2</v>
      </c>
      <c r="F323" s="19">
        <f t="shared" si="1"/>
        <v>2.1003770176746725E-5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5.5" customHeight="1" x14ac:dyDescent="0.35">
      <c r="A324" s="5"/>
      <c r="B324" s="20"/>
      <c r="C324" s="6"/>
      <c r="D324" s="6" t="s">
        <v>327</v>
      </c>
      <c r="E324" s="11">
        <v>2</v>
      </c>
      <c r="F324" s="19">
        <f t="shared" si="1"/>
        <v>2.1003770176746725E-5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5.5" customHeight="1" x14ac:dyDescent="0.35">
      <c r="A325" s="5"/>
      <c r="B325" s="20"/>
      <c r="C325" s="6"/>
      <c r="D325" s="6" t="s">
        <v>328</v>
      </c>
      <c r="E325" s="11">
        <v>2</v>
      </c>
      <c r="F325" s="19">
        <f t="shared" si="1"/>
        <v>2.1003770176746725E-5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5.5" customHeight="1" x14ac:dyDescent="0.35">
      <c r="A326" s="5"/>
      <c r="B326" s="20"/>
      <c r="C326" s="6"/>
      <c r="D326" s="6" t="s">
        <v>329</v>
      </c>
      <c r="E326" s="11">
        <v>2</v>
      </c>
      <c r="F326" s="19">
        <f t="shared" si="1"/>
        <v>2.1003770176746725E-5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5.5" customHeight="1" x14ac:dyDescent="0.35">
      <c r="A327" s="5"/>
      <c r="B327" s="20"/>
      <c r="C327" s="6"/>
      <c r="D327" s="6" t="s">
        <v>330</v>
      </c>
      <c r="E327" s="11">
        <v>2</v>
      </c>
      <c r="F327" s="19">
        <f t="shared" si="1"/>
        <v>2.1003770176746725E-5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5.5" customHeight="1" x14ac:dyDescent="0.35">
      <c r="A328" s="5"/>
      <c r="B328" s="20"/>
      <c r="C328" s="6"/>
      <c r="D328" s="6" t="s">
        <v>331</v>
      </c>
      <c r="E328" s="11">
        <v>2</v>
      </c>
      <c r="F328" s="19">
        <f t="shared" si="1"/>
        <v>2.1003770176746725E-5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5.5" customHeight="1" x14ac:dyDescent="0.35">
      <c r="A329" s="5"/>
      <c r="B329" s="20"/>
      <c r="C329" s="6"/>
      <c r="D329" s="6" t="s">
        <v>332</v>
      </c>
      <c r="E329" s="11">
        <v>2</v>
      </c>
      <c r="F329" s="19">
        <f t="shared" si="1"/>
        <v>2.1003770176746725E-5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5.5" customHeight="1" x14ac:dyDescent="0.35">
      <c r="A330" s="5"/>
      <c r="B330" s="20"/>
      <c r="C330" s="6"/>
      <c r="D330" s="6" t="s">
        <v>333</v>
      </c>
      <c r="E330" s="11">
        <v>2</v>
      </c>
      <c r="F330" s="19">
        <f t="shared" si="1"/>
        <v>2.1003770176746725E-5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5.5" customHeight="1" x14ac:dyDescent="0.35">
      <c r="A331" s="5"/>
      <c r="B331" s="20"/>
      <c r="C331" s="6"/>
      <c r="D331" s="6" t="s">
        <v>334</v>
      </c>
      <c r="E331" s="11">
        <v>2</v>
      </c>
      <c r="F331" s="19">
        <f t="shared" si="1"/>
        <v>2.1003770176746725E-5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5.5" customHeight="1" x14ac:dyDescent="0.35">
      <c r="A332" s="5"/>
      <c r="B332" s="20"/>
      <c r="C332" s="6"/>
      <c r="D332" s="6" t="s">
        <v>335</v>
      </c>
      <c r="E332" s="11">
        <v>2</v>
      </c>
      <c r="F332" s="19">
        <f t="shared" si="1"/>
        <v>2.1003770176746725E-5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5.5" customHeight="1" x14ac:dyDescent="0.35">
      <c r="A333" s="5"/>
      <c r="B333" s="20"/>
      <c r="C333" s="6"/>
      <c r="D333" s="6" t="s">
        <v>336</v>
      </c>
      <c r="E333" s="11">
        <v>2</v>
      </c>
      <c r="F333" s="19">
        <f t="shared" si="1"/>
        <v>2.1003770176746725E-5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5.5" customHeight="1" x14ac:dyDescent="0.35">
      <c r="A334" s="5"/>
      <c r="B334" s="20"/>
      <c r="C334" s="6"/>
      <c r="D334" s="6" t="s">
        <v>337</v>
      </c>
      <c r="E334" s="11">
        <v>2</v>
      </c>
      <c r="F334" s="19">
        <f t="shared" si="1"/>
        <v>2.1003770176746725E-5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5.5" customHeight="1" x14ac:dyDescent="0.35">
      <c r="A335" s="5"/>
      <c r="B335" s="20"/>
      <c r="C335" s="6"/>
      <c r="D335" s="6" t="s">
        <v>338</v>
      </c>
      <c r="E335" s="11">
        <v>2</v>
      </c>
      <c r="F335" s="19">
        <f t="shared" si="1"/>
        <v>2.1003770176746725E-5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5.5" customHeight="1" x14ac:dyDescent="0.35">
      <c r="A336" s="5"/>
      <c r="B336" s="20"/>
      <c r="C336" s="6"/>
      <c r="D336" s="6" t="s">
        <v>339</v>
      </c>
      <c r="E336" s="11">
        <v>2</v>
      </c>
      <c r="F336" s="19">
        <f t="shared" si="1"/>
        <v>2.1003770176746725E-5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5.5" customHeight="1" x14ac:dyDescent="0.35">
      <c r="A337" s="5"/>
      <c r="B337" s="20"/>
      <c r="C337" s="6"/>
      <c r="D337" s="6" t="s">
        <v>340</v>
      </c>
      <c r="E337" s="11">
        <v>2</v>
      </c>
      <c r="F337" s="19">
        <f t="shared" si="1"/>
        <v>2.1003770176746725E-5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5.5" customHeight="1" x14ac:dyDescent="0.35">
      <c r="A338" s="5"/>
      <c r="B338" s="20"/>
      <c r="C338" s="6"/>
      <c r="D338" s="6" t="s">
        <v>341</v>
      </c>
      <c r="E338" s="11">
        <v>2</v>
      </c>
      <c r="F338" s="19">
        <f t="shared" si="1"/>
        <v>2.1003770176746725E-5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5.5" customHeight="1" x14ac:dyDescent="0.35">
      <c r="A339" s="5"/>
      <c r="B339" s="20"/>
      <c r="C339" s="6"/>
      <c r="D339" s="6" t="s">
        <v>342</v>
      </c>
      <c r="E339" s="11">
        <v>2</v>
      </c>
      <c r="F339" s="19">
        <f t="shared" si="1"/>
        <v>2.1003770176746725E-5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5.5" customHeight="1" x14ac:dyDescent="0.35">
      <c r="A340" s="5"/>
      <c r="B340" s="20"/>
      <c r="C340" s="6"/>
      <c r="D340" s="6" t="s">
        <v>343</v>
      </c>
      <c r="E340" s="11">
        <v>2</v>
      </c>
      <c r="F340" s="19">
        <f t="shared" si="1"/>
        <v>2.1003770176746725E-5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5.5" customHeight="1" x14ac:dyDescent="0.35">
      <c r="A341" s="5"/>
      <c r="B341" s="20"/>
      <c r="C341" s="6"/>
      <c r="D341" s="6" t="s">
        <v>344</v>
      </c>
      <c r="E341" s="11">
        <v>2</v>
      </c>
      <c r="F341" s="19">
        <f t="shared" si="1"/>
        <v>2.1003770176746725E-5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5.5" customHeight="1" x14ac:dyDescent="0.35">
      <c r="A342" s="5"/>
      <c r="B342" s="20"/>
      <c r="C342" s="6"/>
      <c r="D342" s="6" t="s">
        <v>345</v>
      </c>
      <c r="E342" s="11">
        <v>2</v>
      </c>
      <c r="F342" s="19">
        <f t="shared" si="1"/>
        <v>2.1003770176746725E-5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5.5" customHeight="1" x14ac:dyDescent="0.35">
      <c r="A343" s="5"/>
      <c r="B343" s="20"/>
      <c r="C343" s="6"/>
      <c r="D343" s="6" t="s">
        <v>346</v>
      </c>
      <c r="E343" s="11">
        <v>2</v>
      </c>
      <c r="F343" s="19">
        <f t="shared" si="1"/>
        <v>2.1003770176746725E-5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5.5" customHeight="1" x14ac:dyDescent="0.35">
      <c r="A344" s="5"/>
      <c r="B344" s="20"/>
      <c r="C344" s="6"/>
      <c r="D344" s="6" t="s">
        <v>347</v>
      </c>
      <c r="E344" s="11">
        <v>2</v>
      </c>
      <c r="F344" s="19">
        <f t="shared" si="1"/>
        <v>2.1003770176746725E-5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5.5" customHeight="1" x14ac:dyDescent="0.35">
      <c r="A345" s="5"/>
      <c r="B345" s="20"/>
      <c r="C345" s="6"/>
      <c r="D345" s="6" t="s">
        <v>348</v>
      </c>
      <c r="E345" s="11">
        <v>2</v>
      </c>
      <c r="F345" s="19">
        <f t="shared" si="1"/>
        <v>2.1003770176746725E-5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.5" customHeight="1" x14ac:dyDescent="0.35">
      <c r="A346" s="5"/>
      <c r="B346" s="20"/>
      <c r="C346" s="6"/>
      <c r="D346" s="6" t="s">
        <v>349</v>
      </c>
      <c r="E346" s="11">
        <v>2</v>
      </c>
      <c r="F346" s="19">
        <f t="shared" si="1"/>
        <v>2.1003770176746725E-5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5.5" customHeight="1" x14ac:dyDescent="0.35">
      <c r="A347" s="5"/>
      <c r="B347" s="20"/>
      <c r="C347" s="6"/>
      <c r="D347" s="6" t="s">
        <v>350</v>
      </c>
      <c r="E347" s="11">
        <v>2</v>
      </c>
      <c r="F347" s="19">
        <f t="shared" si="1"/>
        <v>2.1003770176746725E-5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5.5" customHeight="1" x14ac:dyDescent="0.35">
      <c r="A348" s="5"/>
      <c r="B348" s="20"/>
      <c r="C348" s="6"/>
      <c r="D348" s="6" t="s">
        <v>351</v>
      </c>
      <c r="E348" s="11">
        <v>2</v>
      </c>
      <c r="F348" s="19">
        <f t="shared" si="1"/>
        <v>2.1003770176746725E-5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5.5" customHeight="1" x14ac:dyDescent="0.35">
      <c r="A349" s="5"/>
      <c r="B349" s="20"/>
      <c r="C349" s="6"/>
      <c r="D349" s="6" t="s">
        <v>352</v>
      </c>
      <c r="E349" s="11">
        <v>2</v>
      </c>
      <c r="F349" s="19">
        <f t="shared" si="1"/>
        <v>2.1003770176746725E-5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5.5" customHeight="1" x14ac:dyDescent="0.35">
      <c r="A350" s="5"/>
      <c r="B350" s="20"/>
      <c r="C350" s="6"/>
      <c r="D350" s="6" t="s">
        <v>353</v>
      </c>
      <c r="E350" s="11">
        <v>2</v>
      </c>
      <c r="F350" s="19">
        <f t="shared" si="1"/>
        <v>2.1003770176746725E-5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5.5" customHeight="1" x14ac:dyDescent="0.35">
      <c r="A351" s="5"/>
      <c r="B351" s="20"/>
      <c r="C351" s="6"/>
      <c r="D351" s="6" t="s">
        <v>354</v>
      </c>
      <c r="E351" s="11">
        <v>2</v>
      </c>
      <c r="F351" s="19">
        <f t="shared" si="1"/>
        <v>2.1003770176746725E-5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5.5" customHeight="1" x14ac:dyDescent="0.35">
      <c r="A352" s="5"/>
      <c r="B352" s="20"/>
      <c r="C352" s="6"/>
      <c r="D352" s="6" t="s">
        <v>355</v>
      </c>
      <c r="E352" s="11">
        <v>2</v>
      </c>
      <c r="F352" s="19">
        <f t="shared" si="1"/>
        <v>2.1003770176746725E-5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5.5" customHeight="1" x14ac:dyDescent="0.35">
      <c r="A353" s="5"/>
      <c r="B353" s="20"/>
      <c r="C353" s="6"/>
      <c r="D353" s="6" t="s">
        <v>356</v>
      </c>
      <c r="E353" s="11">
        <v>2</v>
      </c>
      <c r="F353" s="19">
        <f t="shared" si="1"/>
        <v>2.1003770176746725E-5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5.5" customHeight="1" x14ac:dyDescent="0.35">
      <c r="A354" s="5"/>
      <c r="B354" s="20"/>
      <c r="C354" s="6"/>
      <c r="D354" s="6" t="s">
        <v>357</v>
      </c>
      <c r="E354" s="11">
        <v>2</v>
      </c>
      <c r="F354" s="19">
        <f t="shared" si="1"/>
        <v>2.1003770176746725E-5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5.5" customHeight="1" x14ac:dyDescent="0.35">
      <c r="A355" s="5"/>
      <c r="B355" s="20"/>
      <c r="C355" s="6"/>
      <c r="D355" s="6" t="s">
        <v>358</v>
      </c>
      <c r="E355" s="11">
        <v>2</v>
      </c>
      <c r="F355" s="19">
        <f t="shared" si="1"/>
        <v>2.1003770176746725E-5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5.5" customHeight="1" x14ac:dyDescent="0.35">
      <c r="A356" s="5"/>
      <c r="B356" s="20"/>
      <c r="C356" s="6"/>
      <c r="D356" s="6" t="s">
        <v>359</v>
      </c>
      <c r="E356" s="11">
        <v>2</v>
      </c>
      <c r="F356" s="19">
        <f t="shared" si="1"/>
        <v>2.1003770176746725E-5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5.5" customHeight="1" x14ac:dyDescent="0.35">
      <c r="A357" s="5"/>
      <c r="B357" s="20"/>
      <c r="C357" s="6"/>
      <c r="D357" s="6" t="s">
        <v>360</v>
      </c>
      <c r="E357" s="11">
        <v>2</v>
      </c>
      <c r="F357" s="19">
        <f t="shared" si="1"/>
        <v>2.1003770176746725E-5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5.5" customHeight="1" x14ac:dyDescent="0.35">
      <c r="A358" s="5"/>
      <c r="B358" s="20"/>
      <c r="C358" s="6"/>
      <c r="D358" s="6" t="s">
        <v>361</v>
      </c>
      <c r="E358" s="11">
        <v>2</v>
      </c>
      <c r="F358" s="19">
        <f t="shared" si="1"/>
        <v>2.1003770176746725E-5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5.5" customHeight="1" x14ac:dyDescent="0.35">
      <c r="A359" s="5"/>
      <c r="B359" s="20"/>
      <c r="C359" s="6"/>
      <c r="D359" s="6" t="s">
        <v>362</v>
      </c>
      <c r="E359" s="11">
        <v>2</v>
      </c>
      <c r="F359" s="19">
        <f t="shared" si="1"/>
        <v>2.1003770176746725E-5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5.5" customHeight="1" x14ac:dyDescent="0.35">
      <c r="A360" s="5"/>
      <c r="B360" s="20"/>
      <c r="C360" s="6"/>
      <c r="D360" s="6" t="s">
        <v>363</v>
      </c>
      <c r="E360" s="11">
        <v>2</v>
      </c>
      <c r="F360" s="19">
        <f t="shared" si="1"/>
        <v>2.1003770176746725E-5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5.5" customHeight="1" x14ac:dyDescent="0.35">
      <c r="A361" s="5"/>
      <c r="B361" s="20"/>
      <c r="C361" s="6"/>
      <c r="D361" s="6" t="s">
        <v>364</v>
      </c>
      <c r="E361" s="11">
        <v>2</v>
      </c>
      <c r="F361" s="19">
        <f t="shared" si="1"/>
        <v>2.1003770176746725E-5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5.5" customHeight="1" x14ac:dyDescent="0.35">
      <c r="A362" s="5"/>
      <c r="B362" s="20"/>
      <c r="C362" s="6"/>
      <c r="D362" s="6" t="s">
        <v>365</v>
      </c>
      <c r="E362" s="11">
        <v>2</v>
      </c>
      <c r="F362" s="19">
        <f t="shared" si="1"/>
        <v>2.1003770176746725E-5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5.5" customHeight="1" x14ac:dyDescent="0.35">
      <c r="A363" s="5"/>
      <c r="B363" s="20"/>
      <c r="C363" s="6"/>
      <c r="D363" s="6" t="s">
        <v>366</v>
      </c>
      <c r="E363" s="11">
        <v>2</v>
      </c>
      <c r="F363" s="19">
        <f t="shared" si="1"/>
        <v>2.1003770176746725E-5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5.5" customHeight="1" x14ac:dyDescent="0.35">
      <c r="A364" s="5"/>
      <c r="B364" s="20"/>
      <c r="C364" s="6"/>
      <c r="D364" s="6" t="s">
        <v>367</v>
      </c>
      <c r="E364" s="11">
        <v>2</v>
      </c>
      <c r="F364" s="19">
        <f t="shared" si="1"/>
        <v>2.1003770176746725E-5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5.5" customHeight="1" x14ac:dyDescent="0.35">
      <c r="A365" s="5"/>
      <c r="B365" s="20"/>
      <c r="C365" s="6"/>
      <c r="D365" s="6" t="s">
        <v>368</v>
      </c>
      <c r="E365" s="11">
        <v>2</v>
      </c>
      <c r="F365" s="19">
        <f t="shared" si="1"/>
        <v>2.1003770176746725E-5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5.5" customHeight="1" x14ac:dyDescent="0.35">
      <c r="A366" s="5"/>
      <c r="B366" s="20"/>
      <c r="C366" s="6"/>
      <c r="D366" s="6" t="s">
        <v>369</v>
      </c>
      <c r="E366" s="11">
        <v>2</v>
      </c>
      <c r="F366" s="19">
        <f t="shared" si="1"/>
        <v>2.1003770176746725E-5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5.5" customHeight="1" x14ac:dyDescent="0.35">
      <c r="A367" s="5"/>
      <c r="B367" s="20"/>
      <c r="C367" s="6"/>
      <c r="D367" s="6" t="s">
        <v>370</v>
      </c>
      <c r="E367" s="11">
        <v>2</v>
      </c>
      <c r="F367" s="19">
        <f t="shared" si="1"/>
        <v>2.1003770176746725E-5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5.5" customHeight="1" x14ac:dyDescent="0.35">
      <c r="A368" s="5"/>
      <c r="B368" s="20"/>
      <c r="C368" s="6"/>
      <c r="D368" s="6" t="s">
        <v>371</v>
      </c>
      <c r="E368" s="11">
        <v>2</v>
      </c>
      <c r="F368" s="19">
        <f t="shared" si="1"/>
        <v>2.1003770176746725E-5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5.5" customHeight="1" x14ac:dyDescent="0.35">
      <c r="A369" s="5"/>
      <c r="B369" s="20"/>
      <c r="C369" s="6"/>
      <c r="D369" s="6" t="s">
        <v>372</v>
      </c>
      <c r="E369" s="11">
        <v>2</v>
      </c>
      <c r="F369" s="19">
        <f t="shared" si="1"/>
        <v>2.1003770176746725E-5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5.5" customHeight="1" x14ac:dyDescent="0.35">
      <c r="A370" s="5"/>
      <c r="B370" s="20"/>
      <c r="C370" s="6"/>
      <c r="D370" s="6" t="s">
        <v>373</v>
      </c>
      <c r="E370" s="11">
        <v>2</v>
      </c>
      <c r="F370" s="19">
        <f t="shared" si="1"/>
        <v>2.1003770176746725E-5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5.5" customHeight="1" x14ac:dyDescent="0.35">
      <c r="A371" s="5"/>
      <c r="B371" s="20"/>
      <c r="C371" s="6"/>
      <c r="D371" s="6" t="s">
        <v>374</v>
      </c>
      <c r="E371" s="11">
        <v>2</v>
      </c>
      <c r="F371" s="19">
        <f t="shared" si="1"/>
        <v>2.1003770176746725E-5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5.5" customHeight="1" x14ac:dyDescent="0.35">
      <c r="A372" s="5"/>
      <c r="B372" s="20"/>
      <c r="C372" s="6"/>
      <c r="D372" s="6" t="s">
        <v>375</v>
      </c>
      <c r="E372" s="11">
        <v>2</v>
      </c>
      <c r="F372" s="19">
        <f t="shared" si="1"/>
        <v>2.1003770176746725E-5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5.5" customHeight="1" x14ac:dyDescent="0.35">
      <c r="A373" s="5"/>
      <c r="B373" s="20"/>
      <c r="C373" s="6"/>
      <c r="D373" s="6" t="s">
        <v>376</v>
      </c>
      <c r="E373" s="11">
        <v>2</v>
      </c>
      <c r="F373" s="19">
        <f t="shared" si="1"/>
        <v>2.1003770176746725E-5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5.5" customHeight="1" x14ac:dyDescent="0.35">
      <c r="A374" s="5"/>
      <c r="B374" s="20"/>
      <c r="C374" s="6"/>
      <c r="D374" s="6" t="s">
        <v>377</v>
      </c>
      <c r="E374" s="11">
        <v>2</v>
      </c>
      <c r="F374" s="19">
        <f t="shared" si="1"/>
        <v>2.1003770176746725E-5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5.5" customHeight="1" x14ac:dyDescent="0.35">
      <c r="A375" s="5"/>
      <c r="B375" s="20"/>
      <c r="C375" s="6"/>
      <c r="D375" s="6" t="s">
        <v>378</v>
      </c>
      <c r="E375" s="11">
        <v>2</v>
      </c>
      <c r="F375" s="19">
        <f t="shared" si="1"/>
        <v>2.1003770176746725E-5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5.5" customHeight="1" x14ac:dyDescent="0.35">
      <c r="A376" s="5"/>
      <c r="B376" s="20"/>
      <c r="C376" s="6"/>
      <c r="D376" s="6" t="s">
        <v>379</v>
      </c>
      <c r="E376" s="11">
        <v>2</v>
      </c>
      <c r="F376" s="19">
        <f t="shared" si="1"/>
        <v>2.1003770176746725E-5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5.5" customHeight="1" x14ac:dyDescent="0.35">
      <c r="A377" s="5"/>
      <c r="B377" s="20"/>
      <c r="C377" s="6"/>
      <c r="D377" s="6" t="s">
        <v>380</v>
      </c>
      <c r="E377" s="11">
        <v>2</v>
      </c>
      <c r="F377" s="19">
        <f t="shared" si="1"/>
        <v>2.1003770176746725E-5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5.5" customHeight="1" x14ac:dyDescent="0.35">
      <c r="A378" s="5"/>
      <c r="B378" s="20"/>
      <c r="C378" s="6"/>
      <c r="D378" s="6" t="s">
        <v>381</v>
      </c>
      <c r="E378" s="11">
        <v>2</v>
      </c>
      <c r="F378" s="19">
        <f t="shared" si="1"/>
        <v>2.1003770176746725E-5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5.5" customHeight="1" x14ac:dyDescent="0.35">
      <c r="A379" s="5"/>
      <c r="B379" s="20"/>
      <c r="C379" s="6"/>
      <c r="D379" s="6" t="s">
        <v>382</v>
      </c>
      <c r="E379" s="11">
        <v>2</v>
      </c>
      <c r="F379" s="19">
        <f t="shared" si="1"/>
        <v>2.1003770176746725E-5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5.5" customHeight="1" x14ac:dyDescent="0.35">
      <c r="A380" s="5"/>
      <c r="B380" s="20"/>
      <c r="C380" s="6"/>
      <c r="D380" s="6" t="s">
        <v>383</v>
      </c>
      <c r="E380" s="11">
        <v>2</v>
      </c>
      <c r="F380" s="19">
        <f t="shared" si="1"/>
        <v>2.1003770176746725E-5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5.5" customHeight="1" x14ac:dyDescent="0.35">
      <c r="A381" s="5"/>
      <c r="B381" s="20"/>
      <c r="C381" s="6"/>
      <c r="D381" s="6" t="s">
        <v>384</v>
      </c>
      <c r="E381" s="11">
        <v>2</v>
      </c>
      <c r="F381" s="19">
        <f t="shared" si="1"/>
        <v>2.1003770176746725E-5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5.5" customHeight="1" x14ac:dyDescent="0.35">
      <c r="A382" s="5"/>
      <c r="B382" s="20"/>
      <c r="C382" s="6"/>
      <c r="D382" s="6" t="s">
        <v>385</v>
      </c>
      <c r="E382" s="11">
        <v>2</v>
      </c>
      <c r="F382" s="19">
        <f t="shared" si="1"/>
        <v>2.1003770176746725E-5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5.5" customHeight="1" x14ac:dyDescent="0.35">
      <c r="A383" s="5"/>
      <c r="B383" s="20"/>
      <c r="C383" s="6"/>
      <c r="D383" s="6" t="s">
        <v>386</v>
      </c>
      <c r="E383" s="11">
        <v>2</v>
      </c>
      <c r="F383" s="19">
        <f t="shared" si="1"/>
        <v>2.1003770176746725E-5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5.5" customHeight="1" x14ac:dyDescent="0.35">
      <c r="A384" s="5"/>
      <c r="B384" s="20"/>
      <c r="C384" s="6"/>
      <c r="D384" s="6" t="s">
        <v>387</v>
      </c>
      <c r="E384" s="11">
        <v>2</v>
      </c>
      <c r="F384" s="19">
        <f t="shared" si="1"/>
        <v>2.1003770176746725E-5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5.5" customHeight="1" x14ac:dyDescent="0.35">
      <c r="A385" s="5"/>
      <c r="B385" s="20"/>
      <c r="C385" s="6"/>
      <c r="D385" s="6" t="s">
        <v>388</v>
      </c>
      <c r="E385" s="11">
        <v>2</v>
      </c>
      <c r="F385" s="19">
        <f t="shared" si="1"/>
        <v>2.1003770176746725E-5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5.5" customHeight="1" x14ac:dyDescent="0.35">
      <c r="A386" s="5"/>
      <c r="B386" s="20"/>
      <c r="C386" s="6"/>
      <c r="D386" s="6" t="s">
        <v>389</v>
      </c>
      <c r="E386" s="11">
        <v>2</v>
      </c>
      <c r="F386" s="19">
        <f t="shared" si="1"/>
        <v>2.1003770176746725E-5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5.5" customHeight="1" x14ac:dyDescent="0.35">
      <c r="A387" s="5"/>
      <c r="B387" s="20"/>
      <c r="C387" s="6"/>
      <c r="D387" s="6" t="s">
        <v>390</v>
      </c>
      <c r="E387" s="11">
        <v>2</v>
      </c>
      <c r="F387" s="19">
        <f t="shared" si="1"/>
        <v>2.1003770176746725E-5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5.5" customHeight="1" x14ac:dyDescent="0.35">
      <c r="A388" s="5"/>
      <c r="B388" s="20"/>
      <c r="C388" s="6"/>
      <c r="D388" s="6" t="s">
        <v>391</v>
      </c>
      <c r="E388" s="11">
        <v>2</v>
      </c>
      <c r="F388" s="19">
        <f t="shared" si="1"/>
        <v>2.1003770176746725E-5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5.5" customHeight="1" x14ac:dyDescent="0.35">
      <c r="A389" s="5"/>
      <c r="B389" s="20"/>
      <c r="C389" s="6"/>
      <c r="D389" s="6" t="s">
        <v>392</v>
      </c>
      <c r="E389" s="11">
        <v>2</v>
      </c>
      <c r="F389" s="19">
        <f t="shared" si="1"/>
        <v>2.1003770176746725E-5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5.5" customHeight="1" x14ac:dyDescent="0.35">
      <c r="A390" s="5"/>
      <c r="B390" s="20"/>
      <c r="C390" s="6"/>
      <c r="D390" s="6" t="s">
        <v>393</v>
      </c>
      <c r="E390" s="11">
        <v>2</v>
      </c>
      <c r="F390" s="19">
        <f t="shared" si="1"/>
        <v>2.1003770176746725E-5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5.5" customHeight="1" x14ac:dyDescent="0.35">
      <c r="A391" s="5"/>
      <c r="B391" s="20"/>
      <c r="C391" s="6"/>
      <c r="D391" s="6" t="s">
        <v>394</v>
      </c>
      <c r="E391" s="11">
        <v>2</v>
      </c>
      <c r="F391" s="19">
        <f t="shared" si="1"/>
        <v>2.1003770176746725E-5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5.5" customHeight="1" x14ac:dyDescent="0.35">
      <c r="A392" s="5"/>
      <c r="B392" s="20"/>
      <c r="C392" s="6"/>
      <c r="D392" s="6" t="s">
        <v>395</v>
      </c>
      <c r="E392" s="11">
        <v>2</v>
      </c>
      <c r="F392" s="19">
        <f t="shared" si="1"/>
        <v>2.1003770176746725E-5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5.5" customHeight="1" x14ac:dyDescent="0.35">
      <c r="A393" s="5"/>
      <c r="B393" s="20"/>
      <c r="C393" s="6"/>
      <c r="D393" s="6" t="s">
        <v>396</v>
      </c>
      <c r="E393" s="11">
        <v>2</v>
      </c>
      <c r="F393" s="19">
        <f t="shared" si="1"/>
        <v>2.1003770176746725E-5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5.5" customHeight="1" x14ac:dyDescent="0.35">
      <c r="A394" s="5"/>
      <c r="B394" s="20"/>
      <c r="C394" s="6"/>
      <c r="D394" s="6" t="s">
        <v>397</v>
      </c>
      <c r="E394" s="11">
        <v>2</v>
      </c>
      <c r="F394" s="19">
        <f t="shared" si="1"/>
        <v>2.1003770176746725E-5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5.5" customHeight="1" x14ac:dyDescent="0.35">
      <c r="A395" s="5"/>
      <c r="B395" s="20"/>
      <c r="C395" s="6"/>
      <c r="D395" s="6" t="s">
        <v>398</v>
      </c>
      <c r="E395" s="11">
        <v>2</v>
      </c>
      <c r="F395" s="19">
        <f t="shared" si="1"/>
        <v>2.1003770176746725E-5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5.5" customHeight="1" x14ac:dyDescent="0.35">
      <c r="A396" s="5"/>
      <c r="B396" s="20"/>
      <c r="C396" s="6"/>
      <c r="D396" s="6" t="s">
        <v>399</v>
      </c>
      <c r="E396" s="11">
        <v>2</v>
      </c>
      <c r="F396" s="19">
        <f t="shared" si="1"/>
        <v>2.1003770176746725E-5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5.5" customHeight="1" x14ac:dyDescent="0.35">
      <c r="A397" s="5"/>
      <c r="B397" s="20"/>
      <c r="C397" s="6"/>
      <c r="D397" s="6" t="s">
        <v>400</v>
      </c>
      <c r="E397" s="11">
        <v>2</v>
      </c>
      <c r="F397" s="19">
        <f t="shared" si="1"/>
        <v>2.1003770176746725E-5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5.5" customHeight="1" x14ac:dyDescent="0.35">
      <c r="A398" s="5"/>
      <c r="B398" s="20"/>
      <c r="C398" s="6"/>
      <c r="D398" s="6" t="s">
        <v>401</v>
      </c>
      <c r="E398" s="11">
        <v>2</v>
      </c>
      <c r="F398" s="19">
        <f t="shared" si="1"/>
        <v>2.1003770176746725E-5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5.5" customHeight="1" x14ac:dyDescent="0.35">
      <c r="A399" s="5"/>
      <c r="B399" s="20"/>
      <c r="C399" s="6"/>
      <c r="D399" s="6" t="s">
        <v>402</v>
      </c>
      <c r="E399" s="11">
        <v>2</v>
      </c>
      <c r="F399" s="19">
        <f t="shared" si="1"/>
        <v>2.1003770176746725E-5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5.5" customHeight="1" x14ac:dyDescent="0.35">
      <c r="A400" s="5"/>
      <c r="B400" s="20"/>
      <c r="C400" s="6"/>
      <c r="D400" s="6" t="s">
        <v>403</v>
      </c>
      <c r="E400" s="11">
        <v>2</v>
      </c>
      <c r="F400" s="19">
        <f t="shared" si="1"/>
        <v>2.1003770176746725E-5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5.5" customHeight="1" x14ac:dyDescent="0.35">
      <c r="A401" s="5"/>
      <c r="B401" s="20"/>
      <c r="C401" s="6"/>
      <c r="D401" s="6" t="s">
        <v>404</v>
      </c>
      <c r="E401" s="11">
        <v>2</v>
      </c>
      <c r="F401" s="19">
        <f t="shared" si="1"/>
        <v>2.1003770176746725E-5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5.5" customHeight="1" x14ac:dyDescent="0.35">
      <c r="A402" s="5"/>
      <c r="B402" s="20"/>
      <c r="C402" s="6"/>
      <c r="D402" s="6" t="s">
        <v>405</v>
      </c>
      <c r="E402" s="11">
        <v>2</v>
      </c>
      <c r="F402" s="19">
        <f t="shared" si="1"/>
        <v>2.1003770176746725E-5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5.5" customHeight="1" x14ac:dyDescent="0.35">
      <c r="A403" s="5"/>
      <c r="B403" s="20"/>
      <c r="C403" s="6"/>
      <c r="D403" s="6" t="s">
        <v>406</v>
      </c>
      <c r="E403" s="11">
        <v>2</v>
      </c>
      <c r="F403" s="19">
        <f t="shared" si="1"/>
        <v>2.1003770176746725E-5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5.5" customHeight="1" x14ac:dyDescent="0.35">
      <c r="A404" s="5"/>
      <c r="B404" s="20"/>
      <c r="C404" s="6"/>
      <c r="D404" s="6" t="s">
        <v>407</v>
      </c>
      <c r="E404" s="11">
        <v>2</v>
      </c>
      <c r="F404" s="19">
        <f t="shared" si="1"/>
        <v>2.1003770176746725E-5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5.5" customHeight="1" x14ac:dyDescent="0.35">
      <c r="A405" s="5"/>
      <c r="B405" s="20"/>
      <c r="C405" s="6"/>
      <c r="D405" s="6" t="s">
        <v>408</v>
      </c>
      <c r="E405" s="11">
        <v>2</v>
      </c>
      <c r="F405" s="19">
        <f t="shared" si="1"/>
        <v>2.1003770176746725E-5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5.5" customHeight="1" x14ac:dyDescent="0.35">
      <c r="A406" s="5"/>
      <c r="B406" s="20"/>
      <c r="C406" s="6"/>
      <c r="D406" s="6" t="s">
        <v>409</v>
      </c>
      <c r="E406" s="11">
        <v>2</v>
      </c>
      <c r="F406" s="19">
        <f t="shared" si="1"/>
        <v>2.1003770176746725E-5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5.5" customHeight="1" x14ac:dyDescent="0.35">
      <c r="A407" s="5"/>
      <c r="B407" s="20"/>
      <c r="C407" s="6"/>
      <c r="D407" s="6" t="s">
        <v>410</v>
      </c>
      <c r="E407" s="11">
        <v>2</v>
      </c>
      <c r="F407" s="19">
        <f t="shared" si="1"/>
        <v>2.1003770176746725E-5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5.5" customHeight="1" x14ac:dyDescent="0.35">
      <c r="A408" s="5"/>
      <c r="B408" s="20"/>
      <c r="C408" s="6"/>
      <c r="D408" s="6" t="s">
        <v>411</v>
      </c>
      <c r="E408" s="11">
        <v>2</v>
      </c>
      <c r="F408" s="19">
        <f t="shared" si="1"/>
        <v>2.1003770176746725E-5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5.5" customHeight="1" x14ac:dyDescent="0.35">
      <c r="A409" s="5"/>
      <c r="B409" s="20"/>
      <c r="C409" s="6"/>
      <c r="D409" s="6" t="s">
        <v>412</v>
      </c>
      <c r="E409" s="11">
        <v>2</v>
      </c>
      <c r="F409" s="19">
        <f t="shared" si="1"/>
        <v>2.1003770176746725E-5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5.5" customHeight="1" x14ac:dyDescent="0.35">
      <c r="A410" s="5"/>
      <c r="B410" s="20"/>
      <c r="C410" s="6"/>
      <c r="D410" s="6" t="s">
        <v>413</v>
      </c>
      <c r="E410" s="11">
        <v>2</v>
      </c>
      <c r="F410" s="19">
        <f t="shared" si="1"/>
        <v>2.1003770176746725E-5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5.5" customHeight="1" x14ac:dyDescent="0.35">
      <c r="A411" s="5"/>
      <c r="B411" s="20"/>
      <c r="C411" s="6"/>
      <c r="D411" s="6" t="s">
        <v>414</v>
      </c>
      <c r="E411" s="11">
        <v>2</v>
      </c>
      <c r="F411" s="19">
        <f t="shared" si="1"/>
        <v>2.1003770176746725E-5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5.5" customHeight="1" x14ac:dyDescent="0.35">
      <c r="A412" s="5"/>
      <c r="B412" s="20"/>
      <c r="C412" s="6"/>
      <c r="D412" s="6" t="s">
        <v>415</v>
      </c>
      <c r="E412" s="11">
        <v>2</v>
      </c>
      <c r="F412" s="19">
        <f t="shared" si="1"/>
        <v>2.1003770176746725E-5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5.5" customHeight="1" x14ac:dyDescent="0.35">
      <c r="A413" s="5"/>
      <c r="B413" s="20"/>
      <c r="C413" s="6"/>
      <c r="D413" s="6" t="s">
        <v>416</v>
      </c>
      <c r="E413" s="11">
        <v>2</v>
      </c>
      <c r="F413" s="19">
        <f t="shared" si="1"/>
        <v>2.1003770176746725E-5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5.5" customHeight="1" x14ac:dyDescent="0.35">
      <c r="A414" s="5"/>
      <c r="B414" s="20"/>
      <c r="C414" s="6"/>
      <c r="D414" s="6" t="s">
        <v>417</v>
      </c>
      <c r="E414" s="11">
        <v>2</v>
      </c>
      <c r="F414" s="19">
        <f t="shared" si="1"/>
        <v>2.1003770176746725E-5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5.5" customHeight="1" x14ac:dyDescent="0.35">
      <c r="A415" s="5"/>
      <c r="B415" s="20"/>
      <c r="C415" s="6"/>
      <c r="D415" s="6" t="s">
        <v>418</v>
      </c>
      <c r="E415" s="11">
        <v>2</v>
      </c>
      <c r="F415" s="19">
        <f t="shared" si="1"/>
        <v>2.1003770176746725E-5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5.5" customHeight="1" x14ac:dyDescent="0.35">
      <c r="A416" s="5"/>
      <c r="B416" s="20"/>
      <c r="C416" s="6"/>
      <c r="D416" s="6" t="s">
        <v>419</v>
      </c>
      <c r="E416" s="11">
        <v>2</v>
      </c>
      <c r="F416" s="19">
        <f t="shared" si="1"/>
        <v>2.1003770176746725E-5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5.5" customHeight="1" x14ac:dyDescent="0.35">
      <c r="A417" s="5"/>
      <c r="B417" s="20"/>
      <c r="C417" s="6"/>
      <c r="D417" s="6" t="s">
        <v>420</v>
      </c>
      <c r="E417" s="11">
        <v>2</v>
      </c>
      <c r="F417" s="19">
        <f t="shared" si="1"/>
        <v>2.1003770176746725E-5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5.5" customHeight="1" x14ac:dyDescent="0.35">
      <c r="A418" s="5"/>
      <c r="B418" s="20"/>
      <c r="C418" s="6"/>
      <c r="D418" s="6" t="s">
        <v>421</v>
      </c>
      <c r="E418" s="11">
        <v>2</v>
      </c>
      <c r="F418" s="19">
        <f t="shared" si="1"/>
        <v>2.1003770176746725E-5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5.5" customHeight="1" x14ac:dyDescent="0.35">
      <c r="A419" s="5"/>
      <c r="B419" s="20"/>
      <c r="C419" s="6"/>
      <c r="D419" s="6" t="s">
        <v>422</v>
      </c>
      <c r="E419" s="11">
        <v>2</v>
      </c>
      <c r="F419" s="19">
        <f t="shared" si="1"/>
        <v>2.1003770176746725E-5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5.5" customHeight="1" x14ac:dyDescent="0.35">
      <c r="A420" s="5"/>
      <c r="B420" s="20"/>
      <c r="C420" s="6"/>
      <c r="D420" s="6" t="s">
        <v>423</v>
      </c>
      <c r="E420" s="11">
        <v>2</v>
      </c>
      <c r="F420" s="19">
        <f t="shared" si="1"/>
        <v>2.1003770176746725E-5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5.5" customHeight="1" x14ac:dyDescent="0.35">
      <c r="A421" s="5"/>
      <c r="B421" s="20"/>
      <c r="C421" s="6"/>
      <c r="D421" s="6" t="s">
        <v>424</v>
      </c>
      <c r="E421" s="11">
        <v>2</v>
      </c>
      <c r="F421" s="19">
        <f t="shared" si="1"/>
        <v>2.1003770176746725E-5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5.5" customHeight="1" x14ac:dyDescent="0.35">
      <c r="A422" s="5"/>
      <c r="B422" s="20"/>
      <c r="C422" s="6"/>
      <c r="D422" s="6" t="s">
        <v>425</v>
      </c>
      <c r="E422" s="11">
        <v>2</v>
      </c>
      <c r="F422" s="19">
        <f t="shared" si="1"/>
        <v>2.1003770176746725E-5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5.5" customHeight="1" x14ac:dyDescent="0.35">
      <c r="A423" s="5"/>
      <c r="B423" s="20"/>
      <c r="C423" s="6"/>
      <c r="D423" s="6" t="s">
        <v>426</v>
      </c>
      <c r="E423" s="11">
        <v>2</v>
      </c>
      <c r="F423" s="19">
        <f t="shared" si="1"/>
        <v>2.1003770176746725E-5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5.5" customHeight="1" x14ac:dyDescent="0.35">
      <c r="A424" s="5"/>
      <c r="B424" s="20"/>
      <c r="C424" s="6"/>
      <c r="D424" s="6" t="s">
        <v>427</v>
      </c>
      <c r="E424" s="11">
        <v>2</v>
      </c>
      <c r="F424" s="19">
        <f t="shared" si="1"/>
        <v>2.1003770176746725E-5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5.5" customHeight="1" x14ac:dyDescent="0.35">
      <c r="A425" s="5"/>
      <c r="B425" s="20"/>
      <c r="C425" s="6"/>
      <c r="D425" s="6" t="s">
        <v>428</v>
      </c>
      <c r="E425" s="11">
        <v>2</v>
      </c>
      <c r="F425" s="19">
        <f t="shared" si="1"/>
        <v>2.1003770176746725E-5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5.5" customHeight="1" x14ac:dyDescent="0.35">
      <c r="A426" s="5"/>
      <c r="B426" s="20"/>
      <c r="C426" s="6"/>
      <c r="D426" s="6" t="s">
        <v>429</v>
      </c>
      <c r="E426" s="11">
        <v>2</v>
      </c>
      <c r="F426" s="19">
        <f t="shared" si="1"/>
        <v>2.1003770176746725E-5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5.5" customHeight="1" x14ac:dyDescent="0.35">
      <c r="A427" s="5"/>
      <c r="B427" s="20"/>
      <c r="C427" s="6"/>
      <c r="D427" s="6" t="s">
        <v>430</v>
      </c>
      <c r="E427" s="11">
        <v>2</v>
      </c>
      <c r="F427" s="19">
        <f t="shared" si="1"/>
        <v>2.1003770176746725E-5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5.5" customHeight="1" x14ac:dyDescent="0.35">
      <c r="A428" s="5"/>
      <c r="B428" s="20"/>
      <c r="C428" s="6"/>
      <c r="D428" s="6" t="s">
        <v>431</v>
      </c>
      <c r="E428" s="11">
        <v>2</v>
      </c>
      <c r="F428" s="19">
        <f t="shared" si="1"/>
        <v>2.1003770176746725E-5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5.5" customHeight="1" x14ac:dyDescent="0.35">
      <c r="A429" s="5"/>
      <c r="B429" s="20"/>
      <c r="C429" s="6"/>
      <c r="D429" s="6" t="s">
        <v>432</v>
      </c>
      <c r="E429" s="11">
        <v>2</v>
      </c>
      <c r="F429" s="19">
        <f t="shared" si="1"/>
        <v>2.1003770176746725E-5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5.5" customHeight="1" x14ac:dyDescent="0.35">
      <c r="A430" s="5"/>
      <c r="B430" s="20"/>
      <c r="C430" s="6"/>
      <c r="D430" s="6" t="s">
        <v>433</v>
      </c>
      <c r="E430" s="11">
        <v>2</v>
      </c>
      <c r="F430" s="19">
        <f t="shared" si="1"/>
        <v>2.1003770176746725E-5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5.5" customHeight="1" x14ac:dyDescent="0.35">
      <c r="A431" s="5"/>
      <c r="B431" s="20"/>
      <c r="C431" s="6"/>
      <c r="D431" s="6" t="s">
        <v>434</v>
      </c>
      <c r="E431" s="11">
        <v>2</v>
      </c>
      <c r="F431" s="19">
        <f t="shared" si="1"/>
        <v>2.1003770176746725E-5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5.5" customHeight="1" x14ac:dyDescent="0.35">
      <c r="A432" s="5"/>
      <c r="B432" s="20"/>
      <c r="C432" s="6"/>
      <c r="D432" s="6" t="s">
        <v>435</v>
      </c>
      <c r="E432" s="11">
        <v>2</v>
      </c>
      <c r="F432" s="19">
        <f t="shared" si="1"/>
        <v>2.1003770176746725E-5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5.5" customHeight="1" x14ac:dyDescent="0.35">
      <c r="A433" s="5"/>
      <c r="B433" s="20"/>
      <c r="C433" s="6"/>
      <c r="D433" s="6" t="s">
        <v>436</v>
      </c>
      <c r="E433" s="11">
        <v>2</v>
      </c>
      <c r="F433" s="19">
        <f t="shared" si="1"/>
        <v>2.1003770176746725E-5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5.5" customHeight="1" x14ac:dyDescent="0.35">
      <c r="A434" s="5"/>
      <c r="B434" s="20"/>
      <c r="C434" s="6"/>
      <c r="D434" s="6" t="s">
        <v>437</v>
      </c>
      <c r="E434" s="11">
        <v>2</v>
      </c>
      <c r="F434" s="19">
        <f t="shared" si="1"/>
        <v>2.1003770176746725E-5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5.5" customHeight="1" x14ac:dyDescent="0.35">
      <c r="A435" s="5"/>
      <c r="B435" s="20"/>
      <c r="C435" s="6"/>
      <c r="D435" s="6" t="s">
        <v>438</v>
      </c>
      <c r="E435" s="11">
        <v>2</v>
      </c>
      <c r="F435" s="19">
        <f t="shared" si="1"/>
        <v>2.1003770176746725E-5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5.5" customHeight="1" x14ac:dyDescent="0.35">
      <c r="A436" s="5"/>
      <c r="B436" s="20"/>
      <c r="C436" s="6"/>
      <c r="D436" s="6" t="s">
        <v>439</v>
      </c>
      <c r="E436" s="11">
        <v>2</v>
      </c>
      <c r="F436" s="19">
        <f t="shared" si="1"/>
        <v>2.1003770176746725E-5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5.5" customHeight="1" x14ac:dyDescent="0.35">
      <c r="A437" s="5"/>
      <c r="B437" s="20"/>
      <c r="C437" s="6"/>
      <c r="D437" s="6" t="s">
        <v>440</v>
      </c>
      <c r="E437" s="11">
        <v>2</v>
      </c>
      <c r="F437" s="19">
        <f t="shared" si="1"/>
        <v>2.1003770176746725E-5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5.5" customHeight="1" x14ac:dyDescent="0.35">
      <c r="A438" s="5"/>
      <c r="B438" s="20"/>
      <c r="C438" s="6"/>
      <c r="D438" s="6" t="s">
        <v>441</v>
      </c>
      <c r="E438" s="11">
        <v>2</v>
      </c>
      <c r="F438" s="19">
        <f t="shared" si="1"/>
        <v>2.1003770176746725E-5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5.5" customHeight="1" x14ac:dyDescent="0.35">
      <c r="A439" s="5"/>
      <c r="B439" s="20"/>
      <c r="C439" s="6"/>
      <c r="D439" s="6" t="s">
        <v>442</v>
      </c>
      <c r="E439" s="11">
        <v>2</v>
      </c>
      <c r="F439" s="19">
        <f t="shared" si="1"/>
        <v>2.1003770176746725E-5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5.5" customHeight="1" x14ac:dyDescent="0.35">
      <c r="A440" s="5"/>
      <c r="B440" s="20"/>
      <c r="C440" s="6"/>
      <c r="D440" s="6" t="s">
        <v>443</v>
      </c>
      <c r="E440" s="11">
        <v>2</v>
      </c>
      <c r="F440" s="19">
        <f t="shared" si="1"/>
        <v>2.1003770176746725E-5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5.5" customHeight="1" x14ac:dyDescent="0.35">
      <c r="A441" s="5"/>
      <c r="B441" s="20"/>
      <c r="C441" s="6"/>
      <c r="D441" s="6" t="s">
        <v>444</v>
      </c>
      <c r="E441" s="11">
        <v>2</v>
      </c>
      <c r="F441" s="19">
        <f t="shared" si="1"/>
        <v>2.1003770176746725E-5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5.5" customHeight="1" x14ac:dyDescent="0.35">
      <c r="A442" s="5"/>
      <c r="B442" s="20"/>
      <c r="C442" s="6"/>
      <c r="D442" s="6" t="s">
        <v>445</v>
      </c>
      <c r="E442" s="11">
        <v>2</v>
      </c>
      <c r="F442" s="19">
        <f t="shared" si="1"/>
        <v>2.1003770176746725E-5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5.5" customHeight="1" x14ac:dyDescent="0.35">
      <c r="A443" s="5"/>
      <c r="B443" s="20"/>
      <c r="C443" s="6"/>
      <c r="D443" s="6" t="s">
        <v>446</v>
      </c>
      <c r="E443" s="11">
        <v>2</v>
      </c>
      <c r="F443" s="19">
        <f t="shared" si="1"/>
        <v>2.1003770176746725E-5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5.5" customHeight="1" x14ac:dyDescent="0.35">
      <c r="A444" s="5"/>
      <c r="B444" s="20"/>
      <c r="C444" s="6"/>
      <c r="D444" s="6" t="s">
        <v>447</v>
      </c>
      <c r="E444" s="11">
        <v>2</v>
      </c>
      <c r="F444" s="19">
        <f t="shared" si="1"/>
        <v>2.1003770176746725E-5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5.5" customHeight="1" x14ac:dyDescent="0.35">
      <c r="A445" s="5"/>
      <c r="B445" s="20"/>
      <c r="C445" s="6"/>
      <c r="D445" s="6" t="s">
        <v>448</v>
      </c>
      <c r="E445" s="11">
        <v>2</v>
      </c>
      <c r="F445" s="19">
        <f t="shared" si="1"/>
        <v>2.1003770176746725E-5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5.5" customHeight="1" x14ac:dyDescent="0.35">
      <c r="A446" s="5"/>
      <c r="B446" s="20"/>
      <c r="C446" s="6"/>
      <c r="D446" s="6" t="s">
        <v>449</v>
      </c>
      <c r="E446" s="11">
        <v>2</v>
      </c>
      <c r="F446" s="19">
        <f t="shared" si="1"/>
        <v>2.1003770176746725E-5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5.5" customHeight="1" x14ac:dyDescent="0.35">
      <c r="A447" s="5"/>
      <c r="B447" s="20"/>
      <c r="C447" s="6"/>
      <c r="D447" s="6" t="s">
        <v>450</v>
      </c>
      <c r="E447" s="11">
        <v>2</v>
      </c>
      <c r="F447" s="19">
        <f t="shared" si="1"/>
        <v>2.1003770176746725E-5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5.5" customHeight="1" x14ac:dyDescent="0.35">
      <c r="A448" s="5"/>
      <c r="B448" s="20"/>
      <c r="C448" s="6"/>
      <c r="D448" s="6" t="s">
        <v>451</v>
      </c>
      <c r="E448" s="11">
        <v>2</v>
      </c>
      <c r="F448" s="19">
        <f t="shared" si="1"/>
        <v>2.1003770176746725E-5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5.5" customHeight="1" x14ac:dyDescent="0.35">
      <c r="A449" s="5"/>
      <c r="B449" s="20"/>
      <c r="C449" s="6"/>
      <c r="D449" s="6" t="s">
        <v>452</v>
      </c>
      <c r="E449" s="11">
        <v>2</v>
      </c>
      <c r="F449" s="19">
        <f t="shared" si="1"/>
        <v>2.1003770176746725E-5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5.5" customHeight="1" x14ac:dyDescent="0.35">
      <c r="A450" s="5"/>
      <c r="B450" s="20"/>
      <c r="C450" s="6"/>
      <c r="D450" s="6" t="s">
        <v>453</v>
      </c>
      <c r="E450" s="11">
        <v>2</v>
      </c>
      <c r="F450" s="19">
        <f t="shared" si="1"/>
        <v>2.1003770176746725E-5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5.5" customHeight="1" x14ac:dyDescent="0.35">
      <c r="A451" s="5"/>
      <c r="B451" s="20"/>
      <c r="C451" s="6"/>
      <c r="D451" s="6" t="s">
        <v>454</v>
      </c>
      <c r="E451" s="11">
        <v>1</v>
      </c>
      <c r="F451" s="19">
        <f t="shared" si="1"/>
        <v>1.0501885088373362E-5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5.5" customHeight="1" x14ac:dyDescent="0.35">
      <c r="A452" s="5"/>
      <c r="B452" s="20"/>
      <c r="C452" s="6"/>
      <c r="D452" s="6" t="s">
        <v>455</v>
      </c>
      <c r="E452" s="11">
        <v>1</v>
      </c>
      <c r="F452" s="19">
        <f t="shared" si="1"/>
        <v>1.0501885088373362E-5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5.5" customHeight="1" x14ac:dyDescent="0.35">
      <c r="A453" s="5"/>
      <c r="B453" s="20"/>
      <c r="C453" s="6"/>
      <c r="D453" s="6" t="s">
        <v>456</v>
      </c>
      <c r="E453" s="11">
        <v>1</v>
      </c>
      <c r="F453" s="19">
        <f t="shared" si="1"/>
        <v>1.0501885088373362E-5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5.5" customHeight="1" x14ac:dyDescent="0.35">
      <c r="A454" s="5"/>
      <c r="B454" s="20"/>
      <c r="C454" s="6"/>
      <c r="D454" s="6" t="s">
        <v>457</v>
      </c>
      <c r="E454" s="11">
        <v>1</v>
      </c>
      <c r="F454" s="19">
        <f t="shared" si="1"/>
        <v>1.0501885088373362E-5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5.5" customHeight="1" x14ac:dyDescent="0.35">
      <c r="A455" s="5"/>
      <c r="B455" s="20"/>
      <c r="C455" s="6"/>
      <c r="D455" s="6" t="s">
        <v>458</v>
      </c>
      <c r="E455" s="11">
        <v>1</v>
      </c>
      <c r="F455" s="19">
        <f t="shared" si="1"/>
        <v>1.0501885088373362E-5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5.5" customHeight="1" x14ac:dyDescent="0.35">
      <c r="A456" s="5"/>
      <c r="B456" s="20"/>
      <c r="C456" s="6"/>
      <c r="D456" s="6" t="s">
        <v>459</v>
      </c>
      <c r="E456" s="11">
        <v>1</v>
      </c>
      <c r="F456" s="19">
        <f t="shared" si="1"/>
        <v>1.0501885088373362E-5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5.5" customHeight="1" x14ac:dyDescent="0.35">
      <c r="A457" s="5"/>
      <c r="B457" s="20"/>
      <c r="C457" s="6"/>
      <c r="D457" s="6" t="s">
        <v>460</v>
      </c>
      <c r="E457" s="11">
        <v>1</v>
      </c>
      <c r="F457" s="19">
        <f t="shared" si="1"/>
        <v>1.0501885088373362E-5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5.5" customHeight="1" x14ac:dyDescent="0.35">
      <c r="A458" s="5"/>
      <c r="B458" s="20"/>
      <c r="C458" s="6"/>
      <c r="D458" s="6" t="s">
        <v>461</v>
      </c>
      <c r="E458" s="11">
        <v>1</v>
      </c>
      <c r="F458" s="19">
        <f t="shared" si="1"/>
        <v>1.0501885088373362E-5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5.5" customHeight="1" x14ac:dyDescent="0.35">
      <c r="A459" s="5"/>
      <c r="B459" s="20"/>
      <c r="C459" s="6"/>
      <c r="D459" s="6" t="s">
        <v>462</v>
      </c>
      <c r="E459" s="11">
        <v>1</v>
      </c>
      <c r="F459" s="19">
        <f t="shared" si="1"/>
        <v>1.0501885088373362E-5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5.5" customHeight="1" x14ac:dyDescent="0.35">
      <c r="A460" s="5"/>
      <c r="B460" s="20"/>
      <c r="C460" s="6"/>
      <c r="D460" s="6" t="s">
        <v>463</v>
      </c>
      <c r="E460" s="11">
        <v>1</v>
      </c>
      <c r="F460" s="19">
        <f t="shared" si="1"/>
        <v>1.0501885088373362E-5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5.5" customHeight="1" x14ac:dyDescent="0.35">
      <c r="A461" s="5"/>
      <c r="B461" s="20"/>
      <c r="C461" s="6"/>
      <c r="D461" s="6" t="s">
        <v>464</v>
      </c>
      <c r="E461" s="11">
        <v>1</v>
      </c>
      <c r="F461" s="19">
        <f t="shared" si="1"/>
        <v>1.0501885088373362E-5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5.5" customHeight="1" x14ac:dyDescent="0.35">
      <c r="A462" s="5"/>
      <c r="B462" s="20"/>
      <c r="C462" s="6"/>
      <c r="D462" s="6" t="s">
        <v>465</v>
      </c>
      <c r="E462" s="11">
        <v>1</v>
      </c>
      <c r="F462" s="19">
        <f t="shared" si="1"/>
        <v>1.0501885088373362E-5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5.5" customHeight="1" x14ac:dyDescent="0.35">
      <c r="A463" s="5"/>
      <c r="B463" s="20"/>
      <c r="C463" s="6"/>
      <c r="D463" s="6" t="s">
        <v>466</v>
      </c>
      <c r="E463" s="11">
        <v>1</v>
      </c>
      <c r="F463" s="19">
        <f t="shared" si="1"/>
        <v>1.0501885088373362E-5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5.5" customHeight="1" x14ac:dyDescent="0.35">
      <c r="A464" s="5"/>
      <c r="B464" s="20"/>
      <c r="C464" s="6"/>
      <c r="D464" s="6" t="s">
        <v>467</v>
      </c>
      <c r="E464" s="11">
        <v>1</v>
      </c>
      <c r="F464" s="19">
        <f t="shared" si="1"/>
        <v>1.0501885088373362E-5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5.5" customHeight="1" x14ac:dyDescent="0.35">
      <c r="A465" s="5"/>
      <c r="B465" s="20"/>
      <c r="C465" s="6"/>
      <c r="D465" s="6" t="s">
        <v>468</v>
      </c>
      <c r="E465" s="11">
        <v>1</v>
      </c>
      <c r="F465" s="19">
        <f t="shared" si="1"/>
        <v>1.0501885088373362E-5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5.5" customHeight="1" x14ac:dyDescent="0.35">
      <c r="A466" s="5"/>
      <c r="B466" s="20"/>
      <c r="C466" s="6"/>
      <c r="D466" s="6" t="s">
        <v>469</v>
      </c>
      <c r="E466" s="11">
        <v>1</v>
      </c>
      <c r="F466" s="19">
        <f t="shared" si="1"/>
        <v>1.0501885088373362E-5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5.5" customHeight="1" x14ac:dyDescent="0.35">
      <c r="A467" s="5"/>
      <c r="B467" s="20"/>
      <c r="C467" s="6"/>
      <c r="D467" s="6" t="s">
        <v>470</v>
      </c>
      <c r="E467" s="11">
        <v>1</v>
      </c>
      <c r="F467" s="19">
        <f t="shared" si="1"/>
        <v>1.0501885088373362E-5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5.5" customHeight="1" x14ac:dyDescent="0.35">
      <c r="A468" s="5"/>
      <c r="B468" s="20"/>
      <c r="C468" s="6"/>
      <c r="D468" s="6" t="s">
        <v>471</v>
      </c>
      <c r="E468" s="11">
        <v>1</v>
      </c>
      <c r="F468" s="19">
        <f t="shared" si="1"/>
        <v>1.0501885088373362E-5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5.5" customHeight="1" x14ac:dyDescent="0.35">
      <c r="A469" s="5"/>
      <c r="B469" s="20"/>
      <c r="C469" s="6"/>
      <c r="D469" s="6" t="s">
        <v>472</v>
      </c>
      <c r="E469" s="11">
        <v>1</v>
      </c>
      <c r="F469" s="19">
        <f t="shared" si="1"/>
        <v>1.0501885088373362E-5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5.5" customHeight="1" x14ac:dyDescent="0.35">
      <c r="A470" s="5"/>
      <c r="B470" s="20"/>
      <c r="C470" s="6"/>
      <c r="D470" s="6" t="s">
        <v>473</v>
      </c>
      <c r="E470" s="11">
        <v>1</v>
      </c>
      <c r="F470" s="19">
        <f t="shared" si="1"/>
        <v>1.0501885088373362E-5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5.5" customHeight="1" x14ac:dyDescent="0.35">
      <c r="A471" s="5"/>
      <c r="B471" s="20"/>
      <c r="C471" s="6"/>
      <c r="D471" s="6" t="s">
        <v>474</v>
      </c>
      <c r="E471" s="11">
        <v>1</v>
      </c>
      <c r="F471" s="19">
        <f t="shared" si="1"/>
        <v>1.0501885088373362E-5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5.5" customHeight="1" x14ac:dyDescent="0.35">
      <c r="A472" s="5"/>
      <c r="B472" s="20"/>
      <c r="C472" s="6"/>
      <c r="D472" s="6" t="s">
        <v>475</v>
      </c>
      <c r="E472" s="11">
        <v>1</v>
      </c>
      <c r="F472" s="19">
        <f t="shared" si="1"/>
        <v>1.0501885088373362E-5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5.5" customHeight="1" x14ac:dyDescent="0.35">
      <c r="A473" s="5"/>
      <c r="B473" s="20"/>
      <c r="C473" s="6"/>
      <c r="D473" s="6" t="s">
        <v>476</v>
      </c>
      <c r="E473" s="11">
        <v>1</v>
      </c>
      <c r="F473" s="19">
        <f t="shared" si="1"/>
        <v>1.0501885088373362E-5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5.5" customHeight="1" x14ac:dyDescent="0.35">
      <c r="A474" s="5"/>
      <c r="B474" s="20"/>
      <c r="C474" s="6"/>
      <c r="D474" s="6" t="s">
        <v>477</v>
      </c>
      <c r="E474" s="11">
        <v>1</v>
      </c>
      <c r="F474" s="19">
        <f t="shared" si="1"/>
        <v>1.0501885088373362E-5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5.5" customHeight="1" x14ac:dyDescent="0.35">
      <c r="A475" s="5"/>
      <c r="B475" s="20"/>
      <c r="C475" s="6"/>
      <c r="D475" s="6" t="s">
        <v>478</v>
      </c>
      <c r="E475" s="11">
        <v>1</v>
      </c>
      <c r="F475" s="19">
        <f t="shared" si="1"/>
        <v>1.0501885088373362E-5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5.5" customHeight="1" x14ac:dyDescent="0.35">
      <c r="A476" s="5"/>
      <c r="B476" s="20"/>
      <c r="C476" s="6"/>
      <c r="D476" s="6" t="s">
        <v>479</v>
      </c>
      <c r="E476" s="11">
        <v>1</v>
      </c>
      <c r="F476" s="19">
        <f t="shared" si="1"/>
        <v>1.0501885088373362E-5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5.5" customHeight="1" x14ac:dyDescent="0.35">
      <c r="A477" s="5"/>
      <c r="B477" s="20"/>
      <c r="C477" s="6"/>
      <c r="D477" s="6" t="s">
        <v>480</v>
      </c>
      <c r="E477" s="11">
        <v>1</v>
      </c>
      <c r="F477" s="19">
        <f t="shared" si="1"/>
        <v>1.0501885088373362E-5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5.5" customHeight="1" x14ac:dyDescent="0.35">
      <c r="A478" s="5"/>
      <c r="B478" s="20"/>
      <c r="C478" s="6"/>
      <c r="D478" s="6" t="s">
        <v>481</v>
      </c>
      <c r="E478" s="11">
        <v>1</v>
      </c>
      <c r="F478" s="19">
        <f t="shared" si="1"/>
        <v>1.0501885088373362E-5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5.5" customHeight="1" x14ac:dyDescent="0.35">
      <c r="A479" s="5"/>
      <c r="B479" s="20"/>
      <c r="C479" s="6"/>
      <c r="D479" s="6" t="s">
        <v>482</v>
      </c>
      <c r="E479" s="11">
        <v>1</v>
      </c>
      <c r="F479" s="19">
        <f t="shared" si="1"/>
        <v>1.0501885088373362E-5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5.5" customHeight="1" x14ac:dyDescent="0.35">
      <c r="A480" s="5"/>
      <c r="B480" s="20"/>
      <c r="C480" s="6"/>
      <c r="D480" s="6" t="s">
        <v>483</v>
      </c>
      <c r="E480" s="11">
        <v>1</v>
      </c>
      <c r="F480" s="19">
        <f t="shared" si="1"/>
        <v>1.0501885088373362E-5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5.5" customHeight="1" x14ac:dyDescent="0.35">
      <c r="A481" s="5"/>
      <c r="B481" s="20"/>
      <c r="C481" s="6"/>
      <c r="D481" s="6" t="s">
        <v>484</v>
      </c>
      <c r="E481" s="11">
        <v>1</v>
      </c>
      <c r="F481" s="19">
        <f t="shared" si="1"/>
        <v>1.0501885088373362E-5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5.5" customHeight="1" x14ac:dyDescent="0.35">
      <c r="A482" s="5"/>
      <c r="B482" s="20"/>
      <c r="C482" s="6"/>
      <c r="D482" s="6" t="s">
        <v>485</v>
      </c>
      <c r="E482" s="11">
        <v>1</v>
      </c>
      <c r="F482" s="19">
        <f t="shared" si="1"/>
        <v>1.0501885088373362E-5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5.5" customHeight="1" x14ac:dyDescent="0.35">
      <c r="A483" s="5"/>
      <c r="B483" s="20"/>
      <c r="C483" s="6"/>
      <c r="D483" s="6" t="s">
        <v>486</v>
      </c>
      <c r="E483" s="11">
        <v>1</v>
      </c>
      <c r="F483" s="19">
        <f t="shared" si="1"/>
        <v>1.0501885088373362E-5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5.5" customHeight="1" x14ac:dyDescent="0.35">
      <c r="A484" s="5"/>
      <c r="B484" s="20"/>
      <c r="C484" s="6"/>
      <c r="D484" s="6" t="s">
        <v>487</v>
      </c>
      <c r="E484" s="11">
        <v>1</v>
      </c>
      <c r="F484" s="19">
        <f t="shared" si="1"/>
        <v>1.0501885088373362E-5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5.5" customHeight="1" x14ac:dyDescent="0.35">
      <c r="A485" s="5"/>
      <c r="B485" s="20"/>
      <c r="C485" s="6"/>
      <c r="D485" s="6" t="s">
        <v>488</v>
      </c>
      <c r="E485" s="11">
        <v>1</v>
      </c>
      <c r="F485" s="19">
        <f t="shared" si="1"/>
        <v>1.0501885088373362E-5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5.5" customHeight="1" x14ac:dyDescent="0.35">
      <c r="A486" s="5"/>
      <c r="B486" s="20"/>
      <c r="C486" s="6"/>
      <c r="D486" s="6" t="s">
        <v>489</v>
      </c>
      <c r="E486" s="11">
        <v>1</v>
      </c>
      <c r="F486" s="19">
        <f t="shared" si="1"/>
        <v>1.0501885088373362E-5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5.5" customHeight="1" x14ac:dyDescent="0.35">
      <c r="A487" s="5"/>
      <c r="B487" s="20"/>
      <c r="C487" s="6"/>
      <c r="D487" s="6" t="s">
        <v>490</v>
      </c>
      <c r="E487" s="11">
        <v>1</v>
      </c>
      <c r="F487" s="19">
        <f t="shared" si="1"/>
        <v>1.0501885088373362E-5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5.5" customHeight="1" x14ac:dyDescent="0.35">
      <c r="A488" s="5"/>
      <c r="B488" s="20"/>
      <c r="C488" s="6"/>
      <c r="D488" s="6" t="s">
        <v>491</v>
      </c>
      <c r="E488" s="11">
        <v>1</v>
      </c>
      <c r="F488" s="19">
        <f t="shared" si="1"/>
        <v>1.0501885088373362E-5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5.5" customHeight="1" x14ac:dyDescent="0.35">
      <c r="A489" s="5"/>
      <c r="B489" s="20"/>
      <c r="C489" s="6"/>
      <c r="D489" s="6" t="s">
        <v>492</v>
      </c>
      <c r="E489" s="11">
        <v>1</v>
      </c>
      <c r="F489" s="19">
        <f t="shared" si="1"/>
        <v>1.0501885088373362E-5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5.5" customHeight="1" x14ac:dyDescent="0.35">
      <c r="A490" s="5"/>
      <c r="B490" s="20"/>
      <c r="C490" s="6"/>
      <c r="D490" s="6" t="s">
        <v>493</v>
      </c>
      <c r="E490" s="11">
        <v>1</v>
      </c>
      <c r="F490" s="19">
        <f t="shared" si="1"/>
        <v>1.0501885088373362E-5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5.5" customHeight="1" x14ac:dyDescent="0.35">
      <c r="A491" s="5"/>
      <c r="B491" s="20"/>
      <c r="C491" s="6"/>
      <c r="D491" s="6" t="s">
        <v>494</v>
      </c>
      <c r="E491" s="11">
        <v>1</v>
      </c>
      <c r="F491" s="19">
        <f t="shared" si="1"/>
        <v>1.0501885088373362E-5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5.5" customHeight="1" x14ac:dyDescent="0.35">
      <c r="A492" s="5"/>
      <c r="B492" s="20"/>
      <c r="C492" s="6"/>
      <c r="D492" s="6" t="s">
        <v>495</v>
      </c>
      <c r="E492" s="11">
        <v>1</v>
      </c>
      <c r="F492" s="19">
        <f t="shared" si="1"/>
        <v>1.0501885088373362E-5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5.5" customHeight="1" x14ac:dyDescent="0.35">
      <c r="A493" s="5"/>
      <c r="B493" s="20"/>
      <c r="C493" s="6"/>
      <c r="D493" s="6" t="s">
        <v>496</v>
      </c>
      <c r="E493" s="11">
        <v>1</v>
      </c>
      <c r="F493" s="19">
        <f t="shared" si="1"/>
        <v>1.0501885088373362E-5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5.5" customHeight="1" x14ac:dyDescent="0.35">
      <c r="A494" s="5"/>
      <c r="B494" s="20"/>
      <c r="C494" s="6"/>
      <c r="D494" s="6" t="s">
        <v>497</v>
      </c>
      <c r="E494" s="11">
        <v>1</v>
      </c>
      <c r="F494" s="19">
        <f t="shared" si="1"/>
        <v>1.0501885088373362E-5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5.5" customHeight="1" x14ac:dyDescent="0.35">
      <c r="A495" s="5"/>
      <c r="B495" s="20"/>
      <c r="C495" s="6"/>
      <c r="D495" s="6" t="s">
        <v>498</v>
      </c>
      <c r="E495" s="11">
        <v>1</v>
      </c>
      <c r="F495" s="19">
        <f t="shared" si="1"/>
        <v>1.0501885088373362E-5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5.5" customHeight="1" x14ac:dyDescent="0.35">
      <c r="A496" s="5"/>
      <c r="B496" s="20"/>
      <c r="C496" s="6"/>
      <c r="D496" s="6" t="s">
        <v>499</v>
      </c>
      <c r="E496" s="11">
        <v>1</v>
      </c>
      <c r="F496" s="19">
        <f t="shared" si="1"/>
        <v>1.0501885088373362E-5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5.5" customHeight="1" x14ac:dyDescent="0.35">
      <c r="A497" s="5"/>
      <c r="B497" s="20"/>
      <c r="C497" s="6"/>
      <c r="D497" s="6" t="s">
        <v>500</v>
      </c>
      <c r="E497" s="11">
        <v>1</v>
      </c>
      <c r="F497" s="19">
        <f t="shared" si="1"/>
        <v>1.0501885088373362E-5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5.5" customHeight="1" x14ac:dyDescent="0.35">
      <c r="A498" s="5"/>
      <c r="B498" s="20"/>
      <c r="C498" s="6"/>
      <c r="D498" s="6" t="s">
        <v>501</v>
      </c>
      <c r="E498" s="11">
        <v>1</v>
      </c>
      <c r="F498" s="19">
        <f t="shared" si="1"/>
        <v>1.0501885088373362E-5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5.5" customHeight="1" x14ac:dyDescent="0.35">
      <c r="A499" s="5"/>
      <c r="B499" s="20"/>
      <c r="C499" s="6"/>
      <c r="D499" s="6" t="s">
        <v>502</v>
      </c>
      <c r="E499" s="11">
        <v>1</v>
      </c>
      <c r="F499" s="19">
        <f t="shared" si="1"/>
        <v>1.0501885088373362E-5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5.5" customHeight="1" x14ac:dyDescent="0.35">
      <c r="A500" s="5"/>
      <c r="B500" s="20"/>
      <c r="C500" s="6"/>
      <c r="D500" s="6" t="s">
        <v>503</v>
      </c>
      <c r="E500" s="11">
        <v>1</v>
      </c>
      <c r="F500" s="19">
        <f t="shared" si="1"/>
        <v>1.0501885088373362E-5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5.5" customHeight="1" x14ac:dyDescent="0.35">
      <c r="A501" s="5"/>
      <c r="B501" s="20"/>
      <c r="C501" s="6"/>
      <c r="D501" s="6" t="s">
        <v>504</v>
      </c>
      <c r="E501" s="11">
        <v>1</v>
      </c>
      <c r="F501" s="19">
        <f t="shared" si="1"/>
        <v>1.0501885088373362E-5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5.5" customHeight="1" x14ac:dyDescent="0.35">
      <c r="A502" s="5"/>
      <c r="B502" s="20"/>
      <c r="C502" s="6"/>
      <c r="D502" s="6" t="s">
        <v>505</v>
      </c>
      <c r="E502" s="11">
        <v>1</v>
      </c>
      <c r="F502" s="19">
        <f t="shared" si="1"/>
        <v>1.0501885088373362E-5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5.5" customHeight="1" x14ac:dyDescent="0.35">
      <c r="A503" s="5"/>
      <c r="B503" s="20"/>
      <c r="C503" s="6"/>
      <c r="D503" s="6" t="s">
        <v>506</v>
      </c>
      <c r="E503" s="11">
        <v>1</v>
      </c>
      <c r="F503" s="19">
        <f t="shared" si="1"/>
        <v>1.0501885088373362E-5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5.5" customHeight="1" x14ac:dyDescent="0.35">
      <c r="A504" s="5"/>
      <c r="B504" s="20"/>
      <c r="C504" s="6"/>
      <c r="D504" s="6" t="s">
        <v>507</v>
      </c>
      <c r="E504" s="11">
        <v>1</v>
      </c>
      <c r="F504" s="19">
        <f t="shared" si="1"/>
        <v>1.0501885088373362E-5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5.5" customHeight="1" x14ac:dyDescent="0.35">
      <c r="A505" s="5"/>
      <c r="B505" s="20"/>
      <c r="C505" s="6"/>
      <c r="D505" s="6" t="s">
        <v>508</v>
      </c>
      <c r="E505" s="11">
        <v>1</v>
      </c>
      <c r="F505" s="19">
        <f t="shared" si="1"/>
        <v>1.0501885088373362E-5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5.5" customHeight="1" x14ac:dyDescent="0.35">
      <c r="A506" s="5"/>
      <c r="B506" s="20"/>
      <c r="C506" s="6"/>
      <c r="D506" s="6" t="s">
        <v>509</v>
      </c>
      <c r="E506" s="11">
        <v>1</v>
      </c>
      <c r="F506" s="19">
        <f t="shared" si="1"/>
        <v>1.0501885088373362E-5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5.5" customHeight="1" x14ac:dyDescent="0.35">
      <c r="A507" s="5"/>
      <c r="B507" s="20"/>
      <c r="C507" s="6"/>
      <c r="D507" s="6" t="s">
        <v>510</v>
      </c>
      <c r="E507" s="11">
        <v>1</v>
      </c>
      <c r="F507" s="19">
        <f t="shared" si="1"/>
        <v>1.0501885088373362E-5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5.5" customHeight="1" x14ac:dyDescent="0.35">
      <c r="A508" s="5"/>
      <c r="B508" s="18">
        <f>IF(MOD(ROW()-8,500)=0,SUM($E$9:E508) /$E$6,"")</f>
        <v>0.99444450278825047</v>
      </c>
      <c r="C508" s="6"/>
      <c r="D508" s="6" t="s">
        <v>511</v>
      </c>
      <c r="E508" s="11">
        <v>1</v>
      </c>
      <c r="F508" s="19">
        <f t="shared" si="1"/>
        <v>1.0501885088373362E-5</v>
      </c>
      <c r="G508" s="6" t="s">
        <v>512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5.5" customHeight="1" x14ac:dyDescent="0.35">
      <c r="A509" s="5"/>
      <c r="B509" s="20"/>
      <c r="C509" s="6"/>
      <c r="D509" s="6" t="s">
        <v>513</v>
      </c>
      <c r="E509" s="11">
        <v>1</v>
      </c>
      <c r="F509" s="19">
        <f t="shared" si="1"/>
        <v>1.0501885088373362E-5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5.5" customHeight="1" x14ac:dyDescent="0.35">
      <c r="A510" s="5"/>
      <c r="B510" s="20"/>
      <c r="C510" s="6"/>
      <c r="D510" s="6" t="s">
        <v>514</v>
      </c>
      <c r="E510" s="11">
        <v>1</v>
      </c>
      <c r="F510" s="19">
        <f t="shared" si="1"/>
        <v>1.0501885088373362E-5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5.5" customHeight="1" x14ac:dyDescent="0.35">
      <c r="A511" s="5"/>
      <c r="B511" s="20"/>
      <c r="C511" s="6"/>
      <c r="D511" s="6" t="s">
        <v>515</v>
      </c>
      <c r="E511" s="11">
        <v>1</v>
      </c>
      <c r="F511" s="19">
        <f t="shared" si="1"/>
        <v>1.0501885088373362E-5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5.5" customHeight="1" x14ac:dyDescent="0.35">
      <c r="A512" s="5"/>
      <c r="B512" s="20"/>
      <c r="C512" s="6"/>
      <c r="D512" s="6" t="s">
        <v>516</v>
      </c>
      <c r="E512" s="11">
        <v>1</v>
      </c>
      <c r="F512" s="19">
        <f t="shared" si="1"/>
        <v>1.0501885088373362E-5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5.5" customHeight="1" x14ac:dyDescent="0.35">
      <c r="A513" s="5"/>
      <c r="B513" s="20"/>
      <c r="C513" s="6"/>
      <c r="D513" s="6" t="s">
        <v>517</v>
      </c>
      <c r="E513" s="11">
        <v>1</v>
      </c>
      <c r="F513" s="19">
        <f t="shared" si="1"/>
        <v>1.0501885088373362E-5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5.5" customHeight="1" x14ac:dyDescent="0.35">
      <c r="A514" s="5"/>
      <c r="B514" s="20"/>
      <c r="C514" s="6"/>
      <c r="D514" s="6" t="s">
        <v>518</v>
      </c>
      <c r="E514" s="11">
        <v>1</v>
      </c>
      <c r="F514" s="19">
        <f t="shared" si="1"/>
        <v>1.0501885088373362E-5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5.5" customHeight="1" x14ac:dyDescent="0.35">
      <c r="A515" s="5"/>
      <c r="B515" s="20"/>
      <c r="C515" s="6"/>
      <c r="D515" s="6" t="s">
        <v>519</v>
      </c>
      <c r="E515" s="11">
        <v>1</v>
      </c>
      <c r="F515" s="19">
        <f t="shared" si="1"/>
        <v>1.0501885088373362E-5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5.5" customHeight="1" x14ac:dyDescent="0.35">
      <c r="A516" s="5"/>
      <c r="B516" s="20"/>
      <c r="C516" s="6"/>
      <c r="D516" s="6" t="s">
        <v>520</v>
      </c>
      <c r="E516" s="11">
        <v>1</v>
      </c>
      <c r="F516" s="19">
        <f t="shared" si="1"/>
        <v>1.0501885088373362E-5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5.5" customHeight="1" x14ac:dyDescent="0.35">
      <c r="A517" s="5"/>
      <c r="B517" s="20"/>
      <c r="C517" s="6"/>
      <c r="D517" s="6" t="s">
        <v>521</v>
      </c>
      <c r="E517" s="11">
        <v>1</v>
      </c>
      <c r="F517" s="19">
        <f t="shared" si="1"/>
        <v>1.0501885088373362E-5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5.5" customHeight="1" x14ac:dyDescent="0.35">
      <c r="A518" s="5"/>
      <c r="B518" s="20"/>
      <c r="C518" s="6"/>
      <c r="D518" s="6" t="s">
        <v>522</v>
      </c>
      <c r="E518" s="11">
        <v>1</v>
      </c>
      <c r="F518" s="19">
        <f t="shared" si="1"/>
        <v>1.0501885088373362E-5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5.5" customHeight="1" x14ac:dyDescent="0.35">
      <c r="A519" s="5"/>
      <c r="B519" s="20"/>
      <c r="C519" s="6"/>
      <c r="D519" s="6" t="s">
        <v>523</v>
      </c>
      <c r="E519" s="11">
        <v>1</v>
      </c>
      <c r="F519" s="19">
        <f t="shared" ref="F519:F773" si="2">E519/$E$6</f>
        <v>1.0501885088373362E-5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5.5" customHeight="1" x14ac:dyDescent="0.35">
      <c r="A520" s="5"/>
      <c r="B520" s="20"/>
      <c r="C520" s="6"/>
      <c r="D520" s="6" t="s">
        <v>524</v>
      </c>
      <c r="E520" s="11">
        <v>1</v>
      </c>
      <c r="F520" s="19">
        <f t="shared" si="2"/>
        <v>1.0501885088373362E-5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5.5" customHeight="1" x14ac:dyDescent="0.35">
      <c r="A521" s="5"/>
      <c r="B521" s="20"/>
      <c r="C521" s="6"/>
      <c r="D521" s="6" t="s">
        <v>525</v>
      </c>
      <c r="E521" s="11">
        <v>1</v>
      </c>
      <c r="F521" s="19">
        <f t="shared" si="2"/>
        <v>1.0501885088373362E-5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5.5" customHeight="1" x14ac:dyDescent="0.35">
      <c r="A522" s="5"/>
      <c r="B522" s="20"/>
      <c r="C522" s="6"/>
      <c r="D522" s="6" t="s">
        <v>526</v>
      </c>
      <c r="E522" s="11">
        <v>1</v>
      </c>
      <c r="F522" s="19">
        <f t="shared" si="2"/>
        <v>1.0501885088373362E-5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5.5" customHeight="1" x14ac:dyDescent="0.35">
      <c r="A523" s="5"/>
      <c r="B523" s="20"/>
      <c r="C523" s="6"/>
      <c r="D523" s="6" t="s">
        <v>527</v>
      </c>
      <c r="E523" s="11">
        <v>1</v>
      </c>
      <c r="F523" s="19">
        <f t="shared" si="2"/>
        <v>1.0501885088373362E-5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5.5" customHeight="1" x14ac:dyDescent="0.35">
      <c r="A524" s="5"/>
      <c r="B524" s="20"/>
      <c r="C524" s="6"/>
      <c r="D524" s="6" t="s">
        <v>528</v>
      </c>
      <c r="E524" s="11">
        <v>1</v>
      </c>
      <c r="F524" s="19">
        <f t="shared" si="2"/>
        <v>1.0501885088373362E-5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5.5" customHeight="1" x14ac:dyDescent="0.35">
      <c r="A525" s="5"/>
      <c r="B525" s="20"/>
      <c r="C525" s="6"/>
      <c r="D525" s="6" t="s">
        <v>529</v>
      </c>
      <c r="E525" s="11">
        <v>1</v>
      </c>
      <c r="F525" s="19">
        <f t="shared" si="2"/>
        <v>1.0501885088373362E-5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5.5" customHeight="1" x14ac:dyDescent="0.35">
      <c r="A526" s="5"/>
      <c r="B526" s="20"/>
      <c r="C526" s="6"/>
      <c r="D526" s="6" t="s">
        <v>530</v>
      </c>
      <c r="E526" s="11">
        <v>1</v>
      </c>
      <c r="F526" s="19">
        <f t="shared" si="2"/>
        <v>1.0501885088373362E-5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5.5" customHeight="1" x14ac:dyDescent="0.35">
      <c r="A527" s="5"/>
      <c r="B527" s="20"/>
      <c r="C527" s="6"/>
      <c r="D527" s="6" t="s">
        <v>531</v>
      </c>
      <c r="E527" s="11">
        <v>1</v>
      </c>
      <c r="F527" s="19">
        <f t="shared" si="2"/>
        <v>1.0501885088373362E-5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5.5" customHeight="1" x14ac:dyDescent="0.35">
      <c r="A528" s="5"/>
      <c r="B528" s="20"/>
      <c r="C528" s="6"/>
      <c r="D528" s="6" t="s">
        <v>532</v>
      </c>
      <c r="E528" s="11">
        <v>1</v>
      </c>
      <c r="F528" s="19">
        <f t="shared" si="2"/>
        <v>1.0501885088373362E-5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5.5" customHeight="1" x14ac:dyDescent="0.35">
      <c r="A529" s="5"/>
      <c r="B529" s="20"/>
      <c r="C529" s="6"/>
      <c r="D529" s="6" t="s">
        <v>533</v>
      </c>
      <c r="E529" s="11">
        <v>1</v>
      </c>
      <c r="F529" s="19">
        <f t="shared" si="2"/>
        <v>1.0501885088373362E-5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5.5" customHeight="1" x14ac:dyDescent="0.35">
      <c r="A530" s="5"/>
      <c r="B530" s="20"/>
      <c r="C530" s="6"/>
      <c r="D530" s="6" t="s">
        <v>534</v>
      </c>
      <c r="E530" s="11">
        <v>1</v>
      </c>
      <c r="F530" s="19">
        <f t="shared" si="2"/>
        <v>1.0501885088373362E-5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5.5" customHeight="1" x14ac:dyDescent="0.35">
      <c r="A531" s="5"/>
      <c r="B531" s="20"/>
      <c r="C531" s="6"/>
      <c r="D531" s="6" t="s">
        <v>535</v>
      </c>
      <c r="E531" s="11">
        <v>1</v>
      </c>
      <c r="F531" s="19">
        <f t="shared" si="2"/>
        <v>1.0501885088373362E-5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5.5" customHeight="1" x14ac:dyDescent="0.35">
      <c r="A532" s="5"/>
      <c r="B532" s="20"/>
      <c r="C532" s="6"/>
      <c r="D532" s="6" t="s">
        <v>536</v>
      </c>
      <c r="E532" s="11">
        <v>1</v>
      </c>
      <c r="F532" s="19">
        <f t="shared" si="2"/>
        <v>1.0501885088373362E-5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5.5" customHeight="1" x14ac:dyDescent="0.35">
      <c r="A533" s="5"/>
      <c r="B533" s="20"/>
      <c r="C533" s="6"/>
      <c r="D533" s="6" t="s">
        <v>537</v>
      </c>
      <c r="E533" s="11">
        <v>1</v>
      </c>
      <c r="F533" s="19">
        <f t="shared" si="2"/>
        <v>1.0501885088373362E-5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5.5" customHeight="1" x14ac:dyDescent="0.35">
      <c r="A534" s="5"/>
      <c r="B534" s="20"/>
      <c r="C534" s="6"/>
      <c r="D534" s="6" t="s">
        <v>538</v>
      </c>
      <c r="E534" s="11">
        <v>1</v>
      </c>
      <c r="F534" s="19">
        <f t="shared" si="2"/>
        <v>1.0501885088373362E-5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5.5" customHeight="1" x14ac:dyDescent="0.35">
      <c r="A535" s="5"/>
      <c r="B535" s="20"/>
      <c r="C535" s="6"/>
      <c r="D535" s="6" t="s">
        <v>539</v>
      </c>
      <c r="E535" s="11">
        <v>1</v>
      </c>
      <c r="F535" s="19">
        <f t="shared" si="2"/>
        <v>1.0501885088373362E-5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5.5" customHeight="1" x14ac:dyDescent="0.35">
      <c r="A536" s="5"/>
      <c r="B536" s="20"/>
      <c r="C536" s="6"/>
      <c r="D536" s="6" t="s">
        <v>540</v>
      </c>
      <c r="E536" s="11">
        <v>1</v>
      </c>
      <c r="F536" s="19">
        <f t="shared" si="2"/>
        <v>1.0501885088373362E-5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5.5" customHeight="1" x14ac:dyDescent="0.35">
      <c r="A537" s="5"/>
      <c r="B537" s="20"/>
      <c r="C537" s="6"/>
      <c r="D537" s="6" t="s">
        <v>541</v>
      </c>
      <c r="E537" s="11">
        <v>1</v>
      </c>
      <c r="F537" s="19">
        <f t="shared" si="2"/>
        <v>1.0501885088373362E-5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5.5" customHeight="1" x14ac:dyDescent="0.35">
      <c r="A538" s="5"/>
      <c r="B538" s="20"/>
      <c r="C538" s="6"/>
      <c r="D538" s="6" t="s">
        <v>542</v>
      </c>
      <c r="E538" s="11">
        <v>1</v>
      </c>
      <c r="F538" s="19">
        <f t="shared" si="2"/>
        <v>1.0501885088373362E-5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5.5" customHeight="1" x14ac:dyDescent="0.35">
      <c r="A539" s="5"/>
      <c r="B539" s="20"/>
      <c r="C539" s="6"/>
      <c r="D539" s="6" t="s">
        <v>543</v>
      </c>
      <c r="E539" s="11">
        <v>1</v>
      </c>
      <c r="F539" s="19">
        <f t="shared" si="2"/>
        <v>1.0501885088373362E-5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5.5" customHeight="1" x14ac:dyDescent="0.35">
      <c r="A540" s="5"/>
      <c r="B540" s="20"/>
      <c r="C540" s="6"/>
      <c r="D540" s="6" t="s">
        <v>544</v>
      </c>
      <c r="E540" s="11">
        <v>1</v>
      </c>
      <c r="F540" s="19">
        <f t="shared" si="2"/>
        <v>1.0501885088373362E-5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5.5" customHeight="1" x14ac:dyDescent="0.35">
      <c r="A541" s="5"/>
      <c r="B541" s="20"/>
      <c r="C541" s="6"/>
      <c r="D541" s="6" t="s">
        <v>545</v>
      </c>
      <c r="E541" s="11">
        <v>1</v>
      </c>
      <c r="F541" s="19">
        <f t="shared" si="2"/>
        <v>1.0501885088373362E-5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5.5" customHeight="1" x14ac:dyDescent="0.35">
      <c r="A542" s="5"/>
      <c r="B542" s="20"/>
      <c r="C542" s="6"/>
      <c r="D542" s="6" t="s">
        <v>546</v>
      </c>
      <c r="E542" s="11">
        <v>1</v>
      </c>
      <c r="F542" s="19">
        <f t="shared" si="2"/>
        <v>1.0501885088373362E-5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5.5" customHeight="1" x14ac:dyDescent="0.35">
      <c r="A543" s="5"/>
      <c r="B543" s="20"/>
      <c r="C543" s="6"/>
      <c r="D543" s="6" t="s">
        <v>547</v>
      </c>
      <c r="E543" s="11">
        <v>1</v>
      </c>
      <c r="F543" s="19">
        <f t="shared" si="2"/>
        <v>1.0501885088373362E-5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5.5" customHeight="1" x14ac:dyDescent="0.35">
      <c r="A544" s="5"/>
      <c r="B544" s="20"/>
      <c r="C544" s="6"/>
      <c r="D544" s="6" t="s">
        <v>548</v>
      </c>
      <c r="E544" s="11">
        <v>1</v>
      </c>
      <c r="F544" s="19">
        <f t="shared" si="2"/>
        <v>1.0501885088373362E-5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5.5" customHeight="1" x14ac:dyDescent="0.35">
      <c r="A545" s="5"/>
      <c r="B545" s="20"/>
      <c r="C545" s="6"/>
      <c r="D545" s="6" t="s">
        <v>549</v>
      </c>
      <c r="E545" s="11">
        <v>1</v>
      </c>
      <c r="F545" s="19">
        <f t="shared" si="2"/>
        <v>1.0501885088373362E-5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5.5" customHeight="1" x14ac:dyDescent="0.35">
      <c r="A546" s="5"/>
      <c r="B546" s="20"/>
      <c r="C546" s="6"/>
      <c r="D546" s="6" t="s">
        <v>550</v>
      </c>
      <c r="E546" s="11">
        <v>1</v>
      </c>
      <c r="F546" s="19">
        <f t="shared" si="2"/>
        <v>1.0501885088373362E-5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5.5" customHeight="1" x14ac:dyDescent="0.35">
      <c r="A547" s="5"/>
      <c r="B547" s="20"/>
      <c r="C547" s="6"/>
      <c r="D547" s="6" t="s">
        <v>551</v>
      </c>
      <c r="E547" s="11">
        <v>1</v>
      </c>
      <c r="F547" s="19">
        <f t="shared" si="2"/>
        <v>1.0501885088373362E-5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5.5" customHeight="1" x14ac:dyDescent="0.35">
      <c r="A548" s="5"/>
      <c r="B548" s="20"/>
      <c r="C548" s="6"/>
      <c r="D548" s="6" t="s">
        <v>552</v>
      </c>
      <c r="E548" s="11">
        <v>1</v>
      </c>
      <c r="F548" s="19">
        <f t="shared" si="2"/>
        <v>1.0501885088373362E-5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5.5" customHeight="1" x14ac:dyDescent="0.35">
      <c r="A549" s="5"/>
      <c r="B549" s="20"/>
      <c r="C549" s="6"/>
      <c r="D549" s="6" t="s">
        <v>553</v>
      </c>
      <c r="E549" s="11">
        <v>1</v>
      </c>
      <c r="F549" s="19">
        <f t="shared" si="2"/>
        <v>1.0501885088373362E-5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5.5" customHeight="1" x14ac:dyDescent="0.35">
      <c r="A550" s="5"/>
      <c r="B550" s="20"/>
      <c r="C550" s="6"/>
      <c r="D550" s="6" t="s">
        <v>554</v>
      </c>
      <c r="E550" s="11">
        <v>1</v>
      </c>
      <c r="F550" s="19">
        <f t="shared" si="2"/>
        <v>1.0501885088373362E-5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5.5" customHeight="1" x14ac:dyDescent="0.35">
      <c r="A551" s="5"/>
      <c r="B551" s="20"/>
      <c r="C551" s="6"/>
      <c r="D551" s="6" t="s">
        <v>555</v>
      </c>
      <c r="E551" s="11">
        <v>1</v>
      </c>
      <c r="F551" s="19">
        <f t="shared" si="2"/>
        <v>1.0501885088373362E-5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5.5" customHeight="1" x14ac:dyDescent="0.35">
      <c r="A552" s="5"/>
      <c r="B552" s="20"/>
      <c r="C552" s="6"/>
      <c r="D552" s="6" t="s">
        <v>556</v>
      </c>
      <c r="E552" s="11">
        <v>1</v>
      </c>
      <c r="F552" s="19">
        <f t="shared" si="2"/>
        <v>1.0501885088373362E-5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5.5" customHeight="1" x14ac:dyDescent="0.35">
      <c r="A553" s="5"/>
      <c r="B553" s="20"/>
      <c r="C553" s="6"/>
      <c r="D553" s="6" t="s">
        <v>557</v>
      </c>
      <c r="E553" s="11">
        <v>1</v>
      </c>
      <c r="F553" s="19">
        <f t="shared" si="2"/>
        <v>1.0501885088373362E-5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5.5" customHeight="1" x14ac:dyDescent="0.35">
      <c r="A554" s="5"/>
      <c r="B554" s="20"/>
      <c r="C554" s="6"/>
      <c r="D554" s="6" t="s">
        <v>558</v>
      </c>
      <c r="E554" s="11">
        <v>1</v>
      </c>
      <c r="F554" s="19">
        <f t="shared" si="2"/>
        <v>1.0501885088373362E-5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5.5" customHeight="1" x14ac:dyDescent="0.35">
      <c r="A555" s="5"/>
      <c r="B555" s="20"/>
      <c r="C555" s="6"/>
      <c r="D555" s="6" t="s">
        <v>559</v>
      </c>
      <c r="E555" s="11">
        <v>1</v>
      </c>
      <c r="F555" s="19">
        <f t="shared" si="2"/>
        <v>1.0501885088373362E-5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5.5" customHeight="1" x14ac:dyDescent="0.35">
      <c r="A556" s="5"/>
      <c r="B556" s="20"/>
      <c r="C556" s="6"/>
      <c r="D556" s="6" t="s">
        <v>560</v>
      </c>
      <c r="E556" s="11">
        <v>1</v>
      </c>
      <c r="F556" s="19">
        <f t="shared" si="2"/>
        <v>1.0501885088373362E-5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5.5" customHeight="1" x14ac:dyDescent="0.35">
      <c r="A557" s="5"/>
      <c r="B557" s="20"/>
      <c r="C557" s="6"/>
      <c r="D557" s="6" t="s">
        <v>561</v>
      </c>
      <c r="E557" s="11">
        <v>1</v>
      </c>
      <c r="F557" s="19">
        <f t="shared" si="2"/>
        <v>1.0501885088373362E-5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5.5" customHeight="1" x14ac:dyDescent="0.35">
      <c r="A558" s="5"/>
      <c r="B558" s="20"/>
      <c r="C558" s="6"/>
      <c r="D558" s="6" t="s">
        <v>562</v>
      </c>
      <c r="E558" s="11">
        <v>1</v>
      </c>
      <c r="F558" s="19">
        <f t="shared" si="2"/>
        <v>1.0501885088373362E-5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5.5" customHeight="1" x14ac:dyDescent="0.35">
      <c r="A559" s="5"/>
      <c r="B559" s="20"/>
      <c r="C559" s="6"/>
      <c r="D559" s="6" t="s">
        <v>563</v>
      </c>
      <c r="E559" s="11">
        <v>1</v>
      </c>
      <c r="F559" s="19">
        <f t="shared" si="2"/>
        <v>1.0501885088373362E-5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5.5" customHeight="1" x14ac:dyDescent="0.35">
      <c r="A560" s="5"/>
      <c r="B560" s="20"/>
      <c r="C560" s="6"/>
      <c r="D560" s="6" t="s">
        <v>564</v>
      </c>
      <c r="E560" s="11">
        <v>1</v>
      </c>
      <c r="F560" s="19">
        <f t="shared" si="2"/>
        <v>1.0501885088373362E-5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5.5" customHeight="1" x14ac:dyDescent="0.35">
      <c r="A561" s="5"/>
      <c r="B561" s="20"/>
      <c r="C561" s="6"/>
      <c r="D561" s="6" t="s">
        <v>565</v>
      </c>
      <c r="E561" s="11">
        <v>1</v>
      </c>
      <c r="F561" s="19">
        <f t="shared" si="2"/>
        <v>1.0501885088373362E-5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5.5" customHeight="1" x14ac:dyDescent="0.35">
      <c r="A562" s="5"/>
      <c r="B562" s="20"/>
      <c r="C562" s="6"/>
      <c r="D562" s="6" t="s">
        <v>566</v>
      </c>
      <c r="E562" s="11">
        <v>1</v>
      </c>
      <c r="F562" s="19">
        <f t="shared" si="2"/>
        <v>1.0501885088373362E-5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5.5" customHeight="1" x14ac:dyDescent="0.35">
      <c r="A563" s="5"/>
      <c r="B563" s="20"/>
      <c r="C563" s="6"/>
      <c r="D563" s="6" t="s">
        <v>567</v>
      </c>
      <c r="E563" s="11">
        <v>1</v>
      </c>
      <c r="F563" s="19">
        <f t="shared" si="2"/>
        <v>1.0501885088373362E-5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5.5" customHeight="1" x14ac:dyDescent="0.35">
      <c r="A564" s="5"/>
      <c r="B564" s="20"/>
      <c r="C564" s="6"/>
      <c r="D564" s="6" t="s">
        <v>568</v>
      </c>
      <c r="E564" s="11">
        <v>1</v>
      </c>
      <c r="F564" s="19">
        <f t="shared" si="2"/>
        <v>1.0501885088373362E-5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5.5" customHeight="1" x14ac:dyDescent="0.35">
      <c r="A565" s="5"/>
      <c r="B565" s="20"/>
      <c r="C565" s="6"/>
      <c r="D565" s="6" t="s">
        <v>569</v>
      </c>
      <c r="E565" s="11">
        <v>1</v>
      </c>
      <c r="F565" s="19">
        <f t="shared" si="2"/>
        <v>1.0501885088373362E-5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5.5" customHeight="1" x14ac:dyDescent="0.35">
      <c r="A566" s="5"/>
      <c r="B566" s="20"/>
      <c r="C566" s="6"/>
      <c r="D566" s="6" t="s">
        <v>570</v>
      </c>
      <c r="E566" s="11">
        <v>1</v>
      </c>
      <c r="F566" s="19">
        <f t="shared" si="2"/>
        <v>1.0501885088373362E-5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5.5" customHeight="1" x14ac:dyDescent="0.35">
      <c r="A567" s="5"/>
      <c r="B567" s="20"/>
      <c r="C567" s="6"/>
      <c r="D567" s="6" t="s">
        <v>571</v>
      </c>
      <c r="E567" s="11">
        <v>1</v>
      </c>
      <c r="F567" s="19">
        <f t="shared" si="2"/>
        <v>1.0501885088373362E-5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5.5" customHeight="1" x14ac:dyDescent="0.35">
      <c r="A568" s="5"/>
      <c r="B568" s="20"/>
      <c r="C568" s="6"/>
      <c r="D568" s="6" t="s">
        <v>572</v>
      </c>
      <c r="E568" s="11">
        <v>1</v>
      </c>
      <c r="F568" s="19">
        <f t="shared" si="2"/>
        <v>1.0501885088373362E-5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5.5" customHeight="1" x14ac:dyDescent="0.35">
      <c r="A569" s="5"/>
      <c r="B569" s="20"/>
      <c r="C569" s="6"/>
      <c r="D569" s="6" t="s">
        <v>573</v>
      </c>
      <c r="E569" s="11">
        <v>1</v>
      </c>
      <c r="F569" s="19">
        <f t="shared" si="2"/>
        <v>1.0501885088373362E-5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5.5" customHeight="1" x14ac:dyDescent="0.35">
      <c r="A570" s="5"/>
      <c r="B570" s="20"/>
      <c r="C570" s="6"/>
      <c r="D570" s="6" t="s">
        <v>574</v>
      </c>
      <c r="E570" s="11">
        <v>1</v>
      </c>
      <c r="F570" s="19">
        <f t="shared" si="2"/>
        <v>1.0501885088373362E-5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5.5" customHeight="1" x14ac:dyDescent="0.35">
      <c r="A571" s="5"/>
      <c r="B571" s="20"/>
      <c r="C571" s="6"/>
      <c r="D571" s="6" t="s">
        <v>575</v>
      </c>
      <c r="E571" s="11">
        <v>1</v>
      </c>
      <c r="F571" s="19">
        <f t="shared" si="2"/>
        <v>1.0501885088373362E-5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5.5" customHeight="1" x14ac:dyDescent="0.35">
      <c r="A572" s="5"/>
      <c r="B572" s="20"/>
      <c r="C572" s="6"/>
      <c r="D572" s="6" t="s">
        <v>576</v>
      </c>
      <c r="E572" s="11">
        <v>1</v>
      </c>
      <c r="F572" s="19">
        <f t="shared" si="2"/>
        <v>1.0501885088373362E-5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5.5" customHeight="1" x14ac:dyDescent="0.35">
      <c r="A573" s="5"/>
      <c r="B573" s="20"/>
      <c r="C573" s="6"/>
      <c r="D573" s="6" t="s">
        <v>577</v>
      </c>
      <c r="E573" s="11">
        <v>1</v>
      </c>
      <c r="F573" s="19">
        <f t="shared" si="2"/>
        <v>1.0501885088373362E-5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5.5" customHeight="1" x14ac:dyDescent="0.35">
      <c r="A574" s="5"/>
      <c r="B574" s="20"/>
      <c r="C574" s="6"/>
      <c r="D574" s="6" t="s">
        <v>578</v>
      </c>
      <c r="E574" s="11">
        <v>1</v>
      </c>
      <c r="F574" s="19">
        <f t="shared" si="2"/>
        <v>1.0501885088373362E-5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5.5" customHeight="1" x14ac:dyDescent="0.35">
      <c r="A575" s="5"/>
      <c r="B575" s="20"/>
      <c r="C575" s="6"/>
      <c r="D575" s="6" t="s">
        <v>579</v>
      </c>
      <c r="E575" s="11">
        <v>1</v>
      </c>
      <c r="F575" s="19">
        <f t="shared" si="2"/>
        <v>1.0501885088373362E-5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5.5" customHeight="1" x14ac:dyDescent="0.35">
      <c r="A576" s="5"/>
      <c r="B576" s="20"/>
      <c r="C576" s="6"/>
      <c r="D576" s="6" t="s">
        <v>580</v>
      </c>
      <c r="E576" s="11">
        <v>1</v>
      </c>
      <c r="F576" s="19">
        <f t="shared" si="2"/>
        <v>1.0501885088373362E-5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5.5" customHeight="1" x14ac:dyDescent="0.35">
      <c r="A577" s="5"/>
      <c r="B577" s="20"/>
      <c r="C577" s="6"/>
      <c r="D577" s="6" t="s">
        <v>581</v>
      </c>
      <c r="E577" s="11">
        <v>1</v>
      </c>
      <c r="F577" s="19">
        <f t="shared" si="2"/>
        <v>1.0501885088373362E-5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5.5" customHeight="1" x14ac:dyDescent="0.35">
      <c r="A578" s="5"/>
      <c r="B578" s="20"/>
      <c r="C578" s="6"/>
      <c r="D578" s="6" t="s">
        <v>582</v>
      </c>
      <c r="E578" s="11">
        <v>1</v>
      </c>
      <c r="F578" s="19">
        <f t="shared" si="2"/>
        <v>1.0501885088373362E-5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5.5" customHeight="1" x14ac:dyDescent="0.35">
      <c r="A579" s="5"/>
      <c r="B579" s="20"/>
      <c r="C579" s="6"/>
      <c r="D579" s="6" t="s">
        <v>583</v>
      </c>
      <c r="E579" s="11">
        <v>1</v>
      </c>
      <c r="F579" s="19">
        <f t="shared" si="2"/>
        <v>1.0501885088373362E-5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5.5" customHeight="1" x14ac:dyDescent="0.35">
      <c r="A580" s="5"/>
      <c r="B580" s="20"/>
      <c r="C580" s="6"/>
      <c r="D580" s="6" t="s">
        <v>584</v>
      </c>
      <c r="E580" s="11">
        <v>1</v>
      </c>
      <c r="F580" s="19">
        <f t="shared" si="2"/>
        <v>1.0501885088373362E-5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5.5" customHeight="1" x14ac:dyDescent="0.35">
      <c r="A581" s="5"/>
      <c r="B581" s="20"/>
      <c r="C581" s="6"/>
      <c r="D581" s="6" t="s">
        <v>585</v>
      </c>
      <c r="E581" s="11">
        <v>1</v>
      </c>
      <c r="F581" s="19">
        <f t="shared" si="2"/>
        <v>1.0501885088373362E-5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5.5" customHeight="1" x14ac:dyDescent="0.35">
      <c r="A582" s="5"/>
      <c r="B582" s="20"/>
      <c r="C582" s="6"/>
      <c r="D582" s="6" t="s">
        <v>586</v>
      </c>
      <c r="E582" s="11">
        <v>1</v>
      </c>
      <c r="F582" s="19">
        <f t="shared" si="2"/>
        <v>1.0501885088373362E-5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5.5" customHeight="1" x14ac:dyDescent="0.35">
      <c r="A583" s="5"/>
      <c r="B583" s="20"/>
      <c r="C583" s="6"/>
      <c r="D583" s="6" t="s">
        <v>587</v>
      </c>
      <c r="E583" s="11">
        <v>1</v>
      </c>
      <c r="F583" s="19">
        <f t="shared" si="2"/>
        <v>1.0501885088373362E-5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5.5" customHeight="1" x14ac:dyDescent="0.35">
      <c r="A584" s="5"/>
      <c r="B584" s="20"/>
      <c r="C584" s="6"/>
      <c r="D584" s="6" t="s">
        <v>588</v>
      </c>
      <c r="E584" s="11">
        <v>1</v>
      </c>
      <c r="F584" s="19">
        <f t="shared" si="2"/>
        <v>1.0501885088373362E-5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5.5" customHeight="1" x14ac:dyDescent="0.35">
      <c r="A585" s="5"/>
      <c r="B585" s="20"/>
      <c r="C585" s="6"/>
      <c r="D585" s="6" t="s">
        <v>589</v>
      </c>
      <c r="E585" s="11">
        <v>1</v>
      </c>
      <c r="F585" s="19">
        <f t="shared" si="2"/>
        <v>1.0501885088373362E-5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5.5" customHeight="1" x14ac:dyDescent="0.35">
      <c r="A586" s="5"/>
      <c r="B586" s="20"/>
      <c r="C586" s="6"/>
      <c r="D586" s="6" t="s">
        <v>590</v>
      </c>
      <c r="E586" s="11">
        <v>1</v>
      </c>
      <c r="F586" s="19">
        <f t="shared" si="2"/>
        <v>1.0501885088373362E-5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5.5" customHeight="1" x14ac:dyDescent="0.35">
      <c r="A587" s="5"/>
      <c r="B587" s="20"/>
      <c r="C587" s="6"/>
      <c r="D587" s="6" t="s">
        <v>591</v>
      </c>
      <c r="E587" s="11">
        <v>1</v>
      </c>
      <c r="F587" s="19">
        <f t="shared" si="2"/>
        <v>1.0501885088373362E-5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5.5" customHeight="1" x14ac:dyDescent="0.35">
      <c r="A588" s="5"/>
      <c r="B588" s="20"/>
      <c r="C588" s="6"/>
      <c r="D588" s="6" t="s">
        <v>592</v>
      </c>
      <c r="E588" s="11">
        <v>1</v>
      </c>
      <c r="F588" s="19">
        <f t="shared" si="2"/>
        <v>1.0501885088373362E-5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5.5" customHeight="1" x14ac:dyDescent="0.35">
      <c r="A589" s="5"/>
      <c r="B589" s="20"/>
      <c r="C589" s="6"/>
      <c r="D589" s="6" t="s">
        <v>593</v>
      </c>
      <c r="E589" s="11">
        <v>1</v>
      </c>
      <c r="F589" s="19">
        <f t="shared" si="2"/>
        <v>1.0501885088373362E-5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5.5" customHeight="1" x14ac:dyDescent="0.35">
      <c r="A590" s="5"/>
      <c r="B590" s="20"/>
      <c r="C590" s="6"/>
      <c r="D590" s="6" t="s">
        <v>594</v>
      </c>
      <c r="E590" s="11">
        <v>1</v>
      </c>
      <c r="F590" s="19">
        <f t="shared" si="2"/>
        <v>1.0501885088373362E-5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5.5" customHeight="1" x14ac:dyDescent="0.35">
      <c r="A591" s="5"/>
      <c r="B591" s="20"/>
      <c r="C591" s="6"/>
      <c r="D591" s="6" t="s">
        <v>595</v>
      </c>
      <c r="E591" s="11">
        <v>1</v>
      </c>
      <c r="F591" s="19">
        <f t="shared" si="2"/>
        <v>1.0501885088373362E-5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5.5" customHeight="1" x14ac:dyDescent="0.35">
      <c r="A592" s="5"/>
      <c r="B592" s="20"/>
      <c r="C592" s="6"/>
      <c r="D592" s="6" t="s">
        <v>596</v>
      </c>
      <c r="E592" s="11">
        <v>1</v>
      </c>
      <c r="F592" s="19">
        <f t="shared" si="2"/>
        <v>1.0501885088373362E-5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5.5" customHeight="1" x14ac:dyDescent="0.35">
      <c r="A593" s="5"/>
      <c r="B593" s="20"/>
      <c r="C593" s="6"/>
      <c r="D593" s="6" t="s">
        <v>597</v>
      </c>
      <c r="E593" s="11">
        <v>1</v>
      </c>
      <c r="F593" s="19">
        <f t="shared" si="2"/>
        <v>1.0501885088373362E-5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5.5" customHeight="1" x14ac:dyDescent="0.35">
      <c r="A594" s="5"/>
      <c r="B594" s="20"/>
      <c r="C594" s="6"/>
      <c r="D594" s="6" t="s">
        <v>598</v>
      </c>
      <c r="E594" s="11">
        <v>1</v>
      </c>
      <c r="F594" s="19">
        <f t="shared" si="2"/>
        <v>1.0501885088373362E-5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5.5" customHeight="1" x14ac:dyDescent="0.35">
      <c r="A595" s="5"/>
      <c r="B595" s="20"/>
      <c r="C595" s="6"/>
      <c r="D595" s="6" t="s">
        <v>599</v>
      </c>
      <c r="E595" s="11">
        <v>1</v>
      </c>
      <c r="F595" s="19">
        <f t="shared" si="2"/>
        <v>1.0501885088373362E-5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5.5" customHeight="1" x14ac:dyDescent="0.35">
      <c r="A596" s="5"/>
      <c r="B596" s="20"/>
      <c r="C596" s="6"/>
      <c r="D596" s="6" t="s">
        <v>600</v>
      </c>
      <c r="E596" s="11">
        <v>1</v>
      </c>
      <c r="F596" s="19">
        <f t="shared" si="2"/>
        <v>1.0501885088373362E-5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5.5" customHeight="1" x14ac:dyDescent="0.35">
      <c r="A597" s="5"/>
      <c r="B597" s="20"/>
      <c r="C597" s="6"/>
      <c r="D597" s="6" t="s">
        <v>601</v>
      </c>
      <c r="E597" s="11">
        <v>1</v>
      </c>
      <c r="F597" s="19">
        <f t="shared" si="2"/>
        <v>1.0501885088373362E-5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5.5" customHeight="1" x14ac:dyDescent="0.35">
      <c r="A598" s="5"/>
      <c r="B598" s="20"/>
      <c r="C598" s="6"/>
      <c r="D598" s="6" t="s">
        <v>602</v>
      </c>
      <c r="E598" s="11">
        <v>1</v>
      </c>
      <c r="F598" s="19">
        <f t="shared" si="2"/>
        <v>1.0501885088373362E-5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5.5" customHeight="1" x14ac:dyDescent="0.35">
      <c r="A599" s="5"/>
      <c r="B599" s="20"/>
      <c r="C599" s="6"/>
      <c r="D599" s="6" t="s">
        <v>603</v>
      </c>
      <c r="E599" s="11">
        <v>1</v>
      </c>
      <c r="F599" s="19">
        <f t="shared" si="2"/>
        <v>1.0501885088373362E-5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5.5" customHeight="1" x14ac:dyDescent="0.35">
      <c r="A600" s="5"/>
      <c r="B600" s="20"/>
      <c r="C600" s="6"/>
      <c r="D600" s="6" t="s">
        <v>604</v>
      </c>
      <c r="E600" s="11">
        <v>1</v>
      </c>
      <c r="F600" s="19">
        <f t="shared" si="2"/>
        <v>1.0501885088373362E-5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5.5" customHeight="1" x14ac:dyDescent="0.35">
      <c r="A601" s="5"/>
      <c r="B601" s="20"/>
      <c r="C601" s="6"/>
      <c r="D601" s="6" t="s">
        <v>605</v>
      </c>
      <c r="E601" s="11">
        <v>1</v>
      </c>
      <c r="F601" s="19">
        <f t="shared" si="2"/>
        <v>1.0501885088373362E-5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5.5" customHeight="1" x14ac:dyDescent="0.35">
      <c r="A602" s="5"/>
      <c r="B602" s="20"/>
      <c r="C602" s="6"/>
      <c r="D602" s="6" t="s">
        <v>606</v>
      </c>
      <c r="E602" s="11">
        <v>1</v>
      </c>
      <c r="F602" s="19">
        <f t="shared" si="2"/>
        <v>1.0501885088373362E-5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5.5" customHeight="1" x14ac:dyDescent="0.35">
      <c r="A603" s="5"/>
      <c r="B603" s="20"/>
      <c r="C603" s="6"/>
      <c r="D603" s="6" t="s">
        <v>607</v>
      </c>
      <c r="E603" s="11">
        <v>1</v>
      </c>
      <c r="F603" s="19">
        <f t="shared" si="2"/>
        <v>1.0501885088373362E-5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5.5" customHeight="1" x14ac:dyDescent="0.35">
      <c r="A604" s="5"/>
      <c r="B604" s="20"/>
      <c r="C604" s="6"/>
      <c r="D604" s="6" t="s">
        <v>608</v>
      </c>
      <c r="E604" s="11">
        <v>1</v>
      </c>
      <c r="F604" s="19">
        <f t="shared" si="2"/>
        <v>1.0501885088373362E-5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5.5" customHeight="1" x14ac:dyDescent="0.35">
      <c r="A605" s="5"/>
      <c r="B605" s="20"/>
      <c r="C605" s="6"/>
      <c r="D605" s="6" t="s">
        <v>609</v>
      </c>
      <c r="E605" s="11">
        <v>1</v>
      </c>
      <c r="F605" s="19">
        <f t="shared" si="2"/>
        <v>1.0501885088373362E-5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5.5" customHeight="1" x14ac:dyDescent="0.35">
      <c r="A606" s="5"/>
      <c r="B606" s="20"/>
      <c r="C606" s="6"/>
      <c r="D606" s="6" t="s">
        <v>610</v>
      </c>
      <c r="E606" s="11">
        <v>1</v>
      </c>
      <c r="F606" s="19">
        <f t="shared" si="2"/>
        <v>1.0501885088373362E-5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5.5" customHeight="1" x14ac:dyDescent="0.35">
      <c r="A607" s="5"/>
      <c r="B607" s="20"/>
      <c r="C607" s="6"/>
      <c r="D607" s="6" t="s">
        <v>611</v>
      </c>
      <c r="E607" s="11">
        <v>1</v>
      </c>
      <c r="F607" s="19">
        <f t="shared" si="2"/>
        <v>1.0501885088373362E-5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5.5" customHeight="1" x14ac:dyDescent="0.35">
      <c r="A608" s="5"/>
      <c r="B608" s="20"/>
      <c r="C608" s="6"/>
      <c r="D608" s="6" t="s">
        <v>612</v>
      </c>
      <c r="E608" s="11">
        <v>1</v>
      </c>
      <c r="F608" s="19">
        <f t="shared" si="2"/>
        <v>1.0501885088373362E-5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5.5" customHeight="1" x14ac:dyDescent="0.35">
      <c r="A609" s="5"/>
      <c r="B609" s="20"/>
      <c r="C609" s="6"/>
      <c r="D609" s="6" t="s">
        <v>613</v>
      </c>
      <c r="E609" s="11">
        <v>1</v>
      </c>
      <c r="F609" s="19">
        <f t="shared" si="2"/>
        <v>1.0501885088373362E-5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5.5" customHeight="1" x14ac:dyDescent="0.35">
      <c r="A610" s="5"/>
      <c r="B610" s="20"/>
      <c r="C610" s="6"/>
      <c r="D610" s="6" t="s">
        <v>614</v>
      </c>
      <c r="E610" s="11">
        <v>1</v>
      </c>
      <c r="F610" s="19">
        <f t="shared" si="2"/>
        <v>1.0501885088373362E-5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5.5" customHeight="1" x14ac:dyDescent="0.35">
      <c r="A611" s="5"/>
      <c r="B611" s="20"/>
      <c r="C611" s="6"/>
      <c r="D611" s="6" t="s">
        <v>615</v>
      </c>
      <c r="E611" s="11">
        <v>1</v>
      </c>
      <c r="F611" s="19">
        <f t="shared" si="2"/>
        <v>1.0501885088373362E-5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5.5" customHeight="1" x14ac:dyDescent="0.35">
      <c r="A612" s="5"/>
      <c r="B612" s="20"/>
      <c r="C612" s="6"/>
      <c r="D612" s="6" t="s">
        <v>616</v>
      </c>
      <c r="E612" s="11">
        <v>1</v>
      </c>
      <c r="F612" s="19">
        <f t="shared" si="2"/>
        <v>1.0501885088373362E-5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5.5" customHeight="1" x14ac:dyDescent="0.35">
      <c r="A613" s="5"/>
      <c r="B613" s="20"/>
      <c r="C613" s="6"/>
      <c r="D613" s="6" t="s">
        <v>617</v>
      </c>
      <c r="E613" s="11">
        <v>1</v>
      </c>
      <c r="F613" s="19">
        <f t="shared" si="2"/>
        <v>1.0501885088373362E-5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5.5" customHeight="1" x14ac:dyDescent="0.35">
      <c r="A614" s="5"/>
      <c r="B614" s="20"/>
      <c r="C614" s="6"/>
      <c r="D614" s="6" t="s">
        <v>618</v>
      </c>
      <c r="E614" s="11">
        <v>1</v>
      </c>
      <c r="F614" s="19">
        <f t="shared" si="2"/>
        <v>1.0501885088373362E-5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5.5" customHeight="1" x14ac:dyDescent="0.35">
      <c r="A615" s="5"/>
      <c r="B615" s="20"/>
      <c r="C615" s="6"/>
      <c r="D615" s="6" t="s">
        <v>619</v>
      </c>
      <c r="E615" s="11">
        <v>1</v>
      </c>
      <c r="F615" s="19">
        <f t="shared" si="2"/>
        <v>1.0501885088373362E-5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5.5" customHeight="1" x14ac:dyDescent="0.35">
      <c r="A616" s="5"/>
      <c r="B616" s="20"/>
      <c r="C616" s="6"/>
      <c r="D616" s="6" t="s">
        <v>620</v>
      </c>
      <c r="E616" s="11">
        <v>1</v>
      </c>
      <c r="F616" s="19">
        <f t="shared" si="2"/>
        <v>1.0501885088373362E-5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5.5" customHeight="1" x14ac:dyDescent="0.35">
      <c r="A617" s="5"/>
      <c r="B617" s="20"/>
      <c r="C617" s="6"/>
      <c r="D617" s="6" t="s">
        <v>621</v>
      </c>
      <c r="E617" s="11">
        <v>1</v>
      </c>
      <c r="F617" s="19">
        <f t="shared" si="2"/>
        <v>1.0501885088373362E-5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5.5" customHeight="1" x14ac:dyDescent="0.35">
      <c r="A618" s="5"/>
      <c r="B618" s="20"/>
      <c r="C618" s="6"/>
      <c r="D618" s="6" t="s">
        <v>622</v>
      </c>
      <c r="E618" s="11">
        <v>1</v>
      </c>
      <c r="F618" s="19">
        <f t="shared" si="2"/>
        <v>1.0501885088373362E-5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5.5" customHeight="1" x14ac:dyDescent="0.35">
      <c r="A619" s="5"/>
      <c r="B619" s="20"/>
      <c r="C619" s="6"/>
      <c r="D619" s="6" t="s">
        <v>623</v>
      </c>
      <c r="E619" s="11">
        <v>1</v>
      </c>
      <c r="F619" s="19">
        <f t="shared" si="2"/>
        <v>1.0501885088373362E-5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5.5" customHeight="1" x14ac:dyDescent="0.35">
      <c r="A620" s="5"/>
      <c r="B620" s="20"/>
      <c r="C620" s="6"/>
      <c r="D620" s="6" t="s">
        <v>624</v>
      </c>
      <c r="E620" s="11">
        <v>1</v>
      </c>
      <c r="F620" s="19">
        <f t="shared" si="2"/>
        <v>1.0501885088373362E-5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5.5" customHeight="1" x14ac:dyDescent="0.35">
      <c r="A621" s="5"/>
      <c r="B621" s="20"/>
      <c r="C621" s="6"/>
      <c r="D621" s="6" t="s">
        <v>625</v>
      </c>
      <c r="E621" s="11">
        <v>1</v>
      </c>
      <c r="F621" s="19">
        <f t="shared" si="2"/>
        <v>1.0501885088373362E-5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5.5" customHeight="1" x14ac:dyDescent="0.35">
      <c r="A622" s="5"/>
      <c r="B622" s="20"/>
      <c r="C622" s="6"/>
      <c r="D622" s="6" t="s">
        <v>626</v>
      </c>
      <c r="E622" s="11">
        <v>1</v>
      </c>
      <c r="F622" s="19">
        <f t="shared" si="2"/>
        <v>1.0501885088373362E-5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5.5" customHeight="1" x14ac:dyDescent="0.35">
      <c r="A623" s="5"/>
      <c r="B623" s="20"/>
      <c r="C623" s="6"/>
      <c r="D623" s="6" t="s">
        <v>627</v>
      </c>
      <c r="E623" s="11">
        <v>1</v>
      </c>
      <c r="F623" s="19">
        <f t="shared" si="2"/>
        <v>1.0501885088373362E-5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5.5" customHeight="1" x14ac:dyDescent="0.35">
      <c r="A624" s="5"/>
      <c r="B624" s="20"/>
      <c r="C624" s="6"/>
      <c r="D624" s="6" t="s">
        <v>628</v>
      </c>
      <c r="E624" s="11">
        <v>1</v>
      </c>
      <c r="F624" s="19">
        <f t="shared" si="2"/>
        <v>1.0501885088373362E-5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5.5" customHeight="1" x14ac:dyDescent="0.35">
      <c r="A625" s="5"/>
      <c r="B625" s="20"/>
      <c r="C625" s="6"/>
      <c r="D625" s="6" t="s">
        <v>629</v>
      </c>
      <c r="E625" s="11">
        <v>1</v>
      </c>
      <c r="F625" s="19">
        <f t="shared" si="2"/>
        <v>1.0501885088373362E-5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5.5" customHeight="1" x14ac:dyDescent="0.35">
      <c r="A626" s="5"/>
      <c r="B626" s="20"/>
      <c r="C626" s="6"/>
      <c r="D626" s="6" t="s">
        <v>630</v>
      </c>
      <c r="E626" s="11">
        <v>1</v>
      </c>
      <c r="F626" s="19">
        <f t="shared" si="2"/>
        <v>1.0501885088373362E-5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5.5" customHeight="1" x14ac:dyDescent="0.35">
      <c r="A627" s="5"/>
      <c r="B627" s="20"/>
      <c r="C627" s="6"/>
      <c r="D627" s="6" t="s">
        <v>631</v>
      </c>
      <c r="E627" s="11">
        <v>1</v>
      </c>
      <c r="F627" s="19">
        <f t="shared" si="2"/>
        <v>1.0501885088373362E-5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5.5" customHeight="1" x14ac:dyDescent="0.35">
      <c r="A628" s="5"/>
      <c r="B628" s="20"/>
      <c r="C628" s="6"/>
      <c r="D628" s="6" t="s">
        <v>632</v>
      </c>
      <c r="E628" s="11">
        <v>1</v>
      </c>
      <c r="F628" s="19">
        <f t="shared" si="2"/>
        <v>1.0501885088373362E-5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5.5" customHeight="1" x14ac:dyDescent="0.35">
      <c r="A629" s="5"/>
      <c r="B629" s="20"/>
      <c r="C629" s="6"/>
      <c r="D629" s="6" t="s">
        <v>633</v>
      </c>
      <c r="E629" s="11">
        <v>1</v>
      </c>
      <c r="F629" s="19">
        <f t="shared" si="2"/>
        <v>1.0501885088373362E-5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5.5" customHeight="1" x14ac:dyDescent="0.35">
      <c r="A630" s="5"/>
      <c r="B630" s="20"/>
      <c r="C630" s="6"/>
      <c r="D630" s="6" t="s">
        <v>634</v>
      </c>
      <c r="E630" s="11">
        <v>1</v>
      </c>
      <c r="F630" s="19">
        <f t="shared" si="2"/>
        <v>1.0501885088373362E-5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5.5" customHeight="1" x14ac:dyDescent="0.35">
      <c r="A631" s="5"/>
      <c r="B631" s="20"/>
      <c r="C631" s="6"/>
      <c r="D631" s="6" t="s">
        <v>635</v>
      </c>
      <c r="E631" s="11">
        <v>1</v>
      </c>
      <c r="F631" s="19">
        <f t="shared" si="2"/>
        <v>1.0501885088373362E-5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5.5" customHeight="1" x14ac:dyDescent="0.35">
      <c r="A632" s="5"/>
      <c r="B632" s="20"/>
      <c r="C632" s="6"/>
      <c r="D632" s="6" t="s">
        <v>636</v>
      </c>
      <c r="E632" s="11">
        <v>1</v>
      </c>
      <c r="F632" s="19">
        <f t="shared" si="2"/>
        <v>1.0501885088373362E-5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5.5" customHeight="1" x14ac:dyDescent="0.35">
      <c r="A633" s="5"/>
      <c r="B633" s="20"/>
      <c r="C633" s="6"/>
      <c r="D633" s="6" t="s">
        <v>637</v>
      </c>
      <c r="E633" s="11">
        <v>1</v>
      </c>
      <c r="F633" s="19">
        <f t="shared" si="2"/>
        <v>1.0501885088373362E-5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5.5" customHeight="1" x14ac:dyDescent="0.35">
      <c r="A634" s="5"/>
      <c r="B634" s="20"/>
      <c r="C634" s="6"/>
      <c r="D634" s="6" t="s">
        <v>638</v>
      </c>
      <c r="E634" s="11">
        <v>1</v>
      </c>
      <c r="F634" s="19">
        <f t="shared" si="2"/>
        <v>1.0501885088373362E-5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5.5" customHeight="1" x14ac:dyDescent="0.35">
      <c r="A635" s="5"/>
      <c r="B635" s="20"/>
      <c r="C635" s="6"/>
      <c r="D635" s="6" t="s">
        <v>639</v>
      </c>
      <c r="E635" s="11">
        <v>1</v>
      </c>
      <c r="F635" s="19">
        <f t="shared" si="2"/>
        <v>1.0501885088373362E-5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5.5" customHeight="1" x14ac:dyDescent="0.35">
      <c r="A636" s="5"/>
      <c r="B636" s="20"/>
      <c r="C636" s="6"/>
      <c r="D636" s="6" t="s">
        <v>640</v>
      </c>
      <c r="E636" s="11">
        <v>1</v>
      </c>
      <c r="F636" s="19">
        <f t="shared" si="2"/>
        <v>1.0501885088373362E-5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5.5" customHeight="1" x14ac:dyDescent="0.35">
      <c r="A637" s="5"/>
      <c r="B637" s="20"/>
      <c r="C637" s="6"/>
      <c r="D637" s="6" t="s">
        <v>641</v>
      </c>
      <c r="E637" s="11">
        <v>1</v>
      </c>
      <c r="F637" s="19">
        <f t="shared" si="2"/>
        <v>1.0501885088373362E-5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5.5" customHeight="1" x14ac:dyDescent="0.35">
      <c r="A638" s="5"/>
      <c r="B638" s="20"/>
      <c r="C638" s="6"/>
      <c r="D638" s="6" t="s">
        <v>642</v>
      </c>
      <c r="E638" s="11">
        <v>1</v>
      </c>
      <c r="F638" s="19">
        <f t="shared" si="2"/>
        <v>1.0501885088373362E-5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5.5" customHeight="1" x14ac:dyDescent="0.35">
      <c r="A639" s="5"/>
      <c r="B639" s="20"/>
      <c r="C639" s="6"/>
      <c r="D639" s="6" t="s">
        <v>643</v>
      </c>
      <c r="E639" s="11">
        <v>1</v>
      </c>
      <c r="F639" s="19">
        <f t="shared" si="2"/>
        <v>1.0501885088373362E-5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5.5" customHeight="1" x14ac:dyDescent="0.35">
      <c r="A640" s="5"/>
      <c r="B640" s="20"/>
      <c r="C640" s="6"/>
      <c r="D640" s="6" t="s">
        <v>644</v>
      </c>
      <c r="E640" s="11">
        <v>1</v>
      </c>
      <c r="F640" s="19">
        <f t="shared" si="2"/>
        <v>1.0501885088373362E-5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5.5" customHeight="1" x14ac:dyDescent="0.35">
      <c r="A641" s="5"/>
      <c r="B641" s="20"/>
      <c r="C641" s="6"/>
      <c r="D641" s="6" t="s">
        <v>645</v>
      </c>
      <c r="E641" s="11">
        <v>1</v>
      </c>
      <c r="F641" s="19">
        <f t="shared" si="2"/>
        <v>1.0501885088373362E-5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5.5" customHeight="1" x14ac:dyDescent="0.35">
      <c r="A642" s="5"/>
      <c r="B642" s="20"/>
      <c r="C642" s="6"/>
      <c r="D642" s="6" t="s">
        <v>646</v>
      </c>
      <c r="E642" s="11">
        <v>1</v>
      </c>
      <c r="F642" s="19">
        <f t="shared" si="2"/>
        <v>1.0501885088373362E-5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5.5" customHeight="1" x14ac:dyDescent="0.35">
      <c r="A643" s="5"/>
      <c r="B643" s="20"/>
      <c r="C643" s="6"/>
      <c r="D643" s="6" t="s">
        <v>647</v>
      </c>
      <c r="E643" s="11">
        <v>1</v>
      </c>
      <c r="F643" s="19">
        <f t="shared" si="2"/>
        <v>1.0501885088373362E-5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5.5" customHeight="1" x14ac:dyDescent="0.35">
      <c r="A644" s="5"/>
      <c r="B644" s="20"/>
      <c r="C644" s="6"/>
      <c r="D644" s="6" t="s">
        <v>648</v>
      </c>
      <c r="E644" s="11">
        <v>1</v>
      </c>
      <c r="F644" s="19">
        <f t="shared" si="2"/>
        <v>1.0501885088373362E-5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5.5" customHeight="1" x14ac:dyDescent="0.35">
      <c r="A645" s="5"/>
      <c r="B645" s="20"/>
      <c r="C645" s="6"/>
      <c r="D645" s="6" t="s">
        <v>649</v>
      </c>
      <c r="E645" s="11">
        <v>1</v>
      </c>
      <c r="F645" s="19">
        <f t="shared" si="2"/>
        <v>1.0501885088373362E-5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5.5" customHeight="1" x14ac:dyDescent="0.35">
      <c r="A646" s="5"/>
      <c r="B646" s="20"/>
      <c r="C646" s="6"/>
      <c r="D646" s="6" t="s">
        <v>650</v>
      </c>
      <c r="E646" s="11">
        <v>1</v>
      </c>
      <c r="F646" s="19">
        <f t="shared" si="2"/>
        <v>1.0501885088373362E-5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5.5" customHeight="1" x14ac:dyDescent="0.35">
      <c r="A647" s="5"/>
      <c r="B647" s="20"/>
      <c r="C647" s="6"/>
      <c r="D647" s="6" t="s">
        <v>651</v>
      </c>
      <c r="E647" s="11">
        <v>1</v>
      </c>
      <c r="F647" s="19">
        <f t="shared" si="2"/>
        <v>1.0501885088373362E-5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5.5" customHeight="1" x14ac:dyDescent="0.35">
      <c r="A648" s="5"/>
      <c r="B648" s="20"/>
      <c r="C648" s="6"/>
      <c r="D648" s="6" t="s">
        <v>652</v>
      </c>
      <c r="E648" s="11">
        <v>1</v>
      </c>
      <c r="F648" s="19">
        <f t="shared" si="2"/>
        <v>1.0501885088373362E-5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5.5" customHeight="1" x14ac:dyDescent="0.35">
      <c r="A649" s="5"/>
      <c r="B649" s="20"/>
      <c r="C649" s="6"/>
      <c r="D649" s="6" t="s">
        <v>653</v>
      </c>
      <c r="E649" s="11">
        <v>1</v>
      </c>
      <c r="F649" s="19">
        <f t="shared" si="2"/>
        <v>1.0501885088373362E-5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5.5" customHeight="1" x14ac:dyDescent="0.35">
      <c r="A650" s="5"/>
      <c r="B650" s="20"/>
      <c r="C650" s="6"/>
      <c r="D650" s="6" t="s">
        <v>654</v>
      </c>
      <c r="E650" s="11">
        <v>1</v>
      </c>
      <c r="F650" s="19">
        <f t="shared" si="2"/>
        <v>1.0501885088373362E-5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5.5" customHeight="1" x14ac:dyDescent="0.35">
      <c r="A651" s="5"/>
      <c r="B651" s="20"/>
      <c r="C651" s="6"/>
      <c r="D651" s="6" t="s">
        <v>655</v>
      </c>
      <c r="E651" s="11">
        <v>1</v>
      </c>
      <c r="F651" s="19">
        <f t="shared" si="2"/>
        <v>1.0501885088373362E-5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5.5" customHeight="1" x14ac:dyDescent="0.35">
      <c r="A652" s="5"/>
      <c r="B652" s="20"/>
      <c r="C652" s="6"/>
      <c r="D652" s="6" t="s">
        <v>656</v>
      </c>
      <c r="E652" s="11">
        <v>1</v>
      </c>
      <c r="F652" s="19">
        <f t="shared" si="2"/>
        <v>1.0501885088373362E-5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5.5" customHeight="1" x14ac:dyDescent="0.35">
      <c r="A653" s="5"/>
      <c r="B653" s="20"/>
      <c r="C653" s="6"/>
      <c r="D653" s="6" t="s">
        <v>657</v>
      </c>
      <c r="E653" s="11">
        <v>1</v>
      </c>
      <c r="F653" s="19">
        <f t="shared" si="2"/>
        <v>1.0501885088373362E-5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5.5" customHeight="1" x14ac:dyDescent="0.35">
      <c r="A654" s="5"/>
      <c r="B654" s="20"/>
      <c r="C654" s="6"/>
      <c r="D654" s="6" t="s">
        <v>658</v>
      </c>
      <c r="E654" s="11">
        <v>1</v>
      </c>
      <c r="F654" s="19">
        <f t="shared" si="2"/>
        <v>1.0501885088373362E-5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5.5" customHeight="1" x14ac:dyDescent="0.35">
      <c r="A655" s="5"/>
      <c r="B655" s="20"/>
      <c r="C655" s="6"/>
      <c r="D655" s="6" t="s">
        <v>659</v>
      </c>
      <c r="E655" s="11">
        <v>1</v>
      </c>
      <c r="F655" s="19">
        <f t="shared" si="2"/>
        <v>1.0501885088373362E-5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5.5" customHeight="1" x14ac:dyDescent="0.35">
      <c r="A656" s="5"/>
      <c r="B656" s="20"/>
      <c r="C656" s="6"/>
      <c r="D656" s="6" t="s">
        <v>660</v>
      </c>
      <c r="E656" s="11">
        <v>1</v>
      </c>
      <c r="F656" s="19">
        <f t="shared" si="2"/>
        <v>1.0501885088373362E-5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5.5" customHeight="1" x14ac:dyDescent="0.35">
      <c r="A657" s="5"/>
      <c r="B657" s="20"/>
      <c r="C657" s="6"/>
      <c r="D657" s="6" t="s">
        <v>661</v>
      </c>
      <c r="E657" s="11">
        <v>1</v>
      </c>
      <c r="F657" s="19">
        <f t="shared" si="2"/>
        <v>1.0501885088373362E-5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5.5" customHeight="1" x14ac:dyDescent="0.35">
      <c r="A658" s="5"/>
      <c r="B658" s="20"/>
      <c r="C658" s="6"/>
      <c r="D658" s="6" t="s">
        <v>662</v>
      </c>
      <c r="E658" s="11">
        <v>1</v>
      </c>
      <c r="F658" s="19">
        <f t="shared" si="2"/>
        <v>1.0501885088373362E-5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5.5" customHeight="1" x14ac:dyDescent="0.35">
      <c r="A659" s="5"/>
      <c r="B659" s="20"/>
      <c r="C659" s="6"/>
      <c r="D659" s="6" t="s">
        <v>663</v>
      </c>
      <c r="E659" s="11">
        <v>1</v>
      </c>
      <c r="F659" s="19">
        <f t="shared" si="2"/>
        <v>1.0501885088373362E-5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5.5" customHeight="1" x14ac:dyDescent="0.35">
      <c r="A660" s="5"/>
      <c r="B660" s="20"/>
      <c r="C660" s="6"/>
      <c r="D660" s="6" t="s">
        <v>664</v>
      </c>
      <c r="E660" s="11">
        <v>1</v>
      </c>
      <c r="F660" s="19">
        <f t="shared" si="2"/>
        <v>1.0501885088373362E-5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5.5" customHeight="1" x14ac:dyDescent="0.35">
      <c r="A661" s="5"/>
      <c r="B661" s="20"/>
      <c r="C661" s="6"/>
      <c r="D661" s="6" t="s">
        <v>665</v>
      </c>
      <c r="E661" s="11">
        <v>1</v>
      </c>
      <c r="F661" s="19">
        <f t="shared" si="2"/>
        <v>1.0501885088373362E-5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5.5" customHeight="1" x14ac:dyDescent="0.35">
      <c r="A662" s="5"/>
      <c r="B662" s="20"/>
      <c r="C662" s="6"/>
      <c r="D662" s="6" t="s">
        <v>666</v>
      </c>
      <c r="E662" s="11">
        <v>1</v>
      </c>
      <c r="F662" s="19">
        <f t="shared" si="2"/>
        <v>1.0501885088373362E-5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5.5" customHeight="1" x14ac:dyDescent="0.35">
      <c r="A663" s="5"/>
      <c r="B663" s="20"/>
      <c r="C663" s="6"/>
      <c r="D663" s="6" t="s">
        <v>667</v>
      </c>
      <c r="E663" s="11">
        <v>1</v>
      </c>
      <c r="F663" s="19">
        <f t="shared" si="2"/>
        <v>1.0501885088373362E-5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5.5" customHeight="1" x14ac:dyDescent="0.35">
      <c r="A664" s="5"/>
      <c r="B664" s="20"/>
      <c r="C664" s="6"/>
      <c r="D664" s="6" t="s">
        <v>668</v>
      </c>
      <c r="E664" s="11">
        <v>1</v>
      </c>
      <c r="F664" s="19">
        <f t="shared" si="2"/>
        <v>1.0501885088373362E-5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5.5" customHeight="1" x14ac:dyDescent="0.35">
      <c r="A665" s="5"/>
      <c r="B665" s="20"/>
      <c r="C665" s="6"/>
      <c r="D665" s="6" t="s">
        <v>669</v>
      </c>
      <c r="E665" s="11">
        <v>1</v>
      </c>
      <c r="F665" s="19">
        <f t="shared" si="2"/>
        <v>1.0501885088373362E-5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5.5" customHeight="1" x14ac:dyDescent="0.35">
      <c r="A666" s="5"/>
      <c r="B666" s="20"/>
      <c r="C666" s="6"/>
      <c r="D666" s="6" t="s">
        <v>670</v>
      </c>
      <c r="E666" s="11">
        <v>1</v>
      </c>
      <c r="F666" s="19">
        <f t="shared" si="2"/>
        <v>1.0501885088373362E-5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5.5" customHeight="1" x14ac:dyDescent="0.35">
      <c r="A667" s="5"/>
      <c r="B667" s="20"/>
      <c r="C667" s="6"/>
      <c r="D667" s="6" t="s">
        <v>671</v>
      </c>
      <c r="E667" s="11">
        <v>1</v>
      </c>
      <c r="F667" s="19">
        <f t="shared" si="2"/>
        <v>1.0501885088373362E-5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5.5" customHeight="1" x14ac:dyDescent="0.35">
      <c r="A668" s="5"/>
      <c r="B668" s="20"/>
      <c r="C668" s="6"/>
      <c r="D668" s="6" t="s">
        <v>672</v>
      </c>
      <c r="E668" s="11">
        <v>1</v>
      </c>
      <c r="F668" s="19">
        <f t="shared" si="2"/>
        <v>1.0501885088373362E-5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5.5" customHeight="1" x14ac:dyDescent="0.35">
      <c r="A669" s="5"/>
      <c r="B669" s="20"/>
      <c r="C669" s="6"/>
      <c r="D669" s="6" t="s">
        <v>673</v>
      </c>
      <c r="E669" s="11">
        <v>1</v>
      </c>
      <c r="F669" s="19">
        <f t="shared" si="2"/>
        <v>1.0501885088373362E-5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5.5" customHeight="1" x14ac:dyDescent="0.35">
      <c r="A670" s="5"/>
      <c r="B670" s="20"/>
      <c r="C670" s="6"/>
      <c r="D670" s="6" t="s">
        <v>674</v>
      </c>
      <c r="E670" s="11">
        <v>1</v>
      </c>
      <c r="F670" s="19">
        <f t="shared" si="2"/>
        <v>1.0501885088373362E-5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5.5" customHeight="1" x14ac:dyDescent="0.35">
      <c r="A671" s="5"/>
      <c r="B671" s="20"/>
      <c r="C671" s="6"/>
      <c r="D671" s="6" t="s">
        <v>675</v>
      </c>
      <c r="E671" s="11">
        <v>1</v>
      </c>
      <c r="F671" s="19">
        <f t="shared" si="2"/>
        <v>1.0501885088373362E-5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5.5" customHeight="1" x14ac:dyDescent="0.35">
      <c r="A672" s="5"/>
      <c r="B672" s="20"/>
      <c r="C672" s="6"/>
      <c r="D672" s="6" t="s">
        <v>676</v>
      </c>
      <c r="E672" s="11">
        <v>1</v>
      </c>
      <c r="F672" s="19">
        <f t="shared" si="2"/>
        <v>1.0501885088373362E-5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5.5" customHeight="1" x14ac:dyDescent="0.35">
      <c r="A673" s="5"/>
      <c r="B673" s="20"/>
      <c r="C673" s="6"/>
      <c r="D673" s="6" t="s">
        <v>677</v>
      </c>
      <c r="E673" s="11">
        <v>1</v>
      </c>
      <c r="F673" s="19">
        <f t="shared" si="2"/>
        <v>1.0501885088373362E-5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5.5" customHeight="1" x14ac:dyDescent="0.35">
      <c r="A674" s="5"/>
      <c r="B674" s="20"/>
      <c r="C674" s="6"/>
      <c r="D674" s="6" t="s">
        <v>678</v>
      </c>
      <c r="E674" s="11">
        <v>1</v>
      </c>
      <c r="F674" s="19">
        <f t="shared" si="2"/>
        <v>1.0501885088373362E-5</v>
      </c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5.5" customHeight="1" x14ac:dyDescent="0.35">
      <c r="A675" s="5"/>
      <c r="B675" s="20"/>
      <c r="C675" s="6"/>
      <c r="D675" s="6" t="s">
        <v>679</v>
      </c>
      <c r="E675" s="11">
        <v>1</v>
      </c>
      <c r="F675" s="19">
        <f t="shared" si="2"/>
        <v>1.0501885088373362E-5</v>
      </c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5.5" customHeight="1" x14ac:dyDescent="0.35">
      <c r="A676" s="5"/>
      <c r="B676" s="20"/>
      <c r="C676" s="6"/>
      <c r="D676" s="6" t="s">
        <v>680</v>
      </c>
      <c r="E676" s="11">
        <v>1</v>
      </c>
      <c r="F676" s="19">
        <f t="shared" si="2"/>
        <v>1.0501885088373362E-5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5.5" customHeight="1" x14ac:dyDescent="0.35">
      <c r="A677" s="5"/>
      <c r="B677" s="20"/>
      <c r="C677" s="6"/>
      <c r="D677" s="6" t="s">
        <v>681</v>
      </c>
      <c r="E677" s="11">
        <v>1</v>
      </c>
      <c r="F677" s="19">
        <f t="shared" si="2"/>
        <v>1.0501885088373362E-5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5.5" customHeight="1" x14ac:dyDescent="0.35">
      <c r="A678" s="5"/>
      <c r="B678" s="20"/>
      <c r="C678" s="6"/>
      <c r="D678" s="6" t="s">
        <v>682</v>
      </c>
      <c r="E678" s="11">
        <v>1</v>
      </c>
      <c r="F678" s="19">
        <f t="shared" si="2"/>
        <v>1.0501885088373362E-5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5.5" customHeight="1" x14ac:dyDescent="0.35">
      <c r="A679" s="5"/>
      <c r="B679" s="20"/>
      <c r="C679" s="6"/>
      <c r="D679" s="6" t="s">
        <v>683</v>
      </c>
      <c r="E679" s="11">
        <v>1</v>
      </c>
      <c r="F679" s="19">
        <f t="shared" si="2"/>
        <v>1.0501885088373362E-5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5.5" customHeight="1" x14ac:dyDescent="0.35">
      <c r="A680" s="5"/>
      <c r="B680" s="20"/>
      <c r="C680" s="6"/>
      <c r="D680" s="6" t="s">
        <v>684</v>
      </c>
      <c r="E680" s="11">
        <v>1</v>
      </c>
      <c r="F680" s="19">
        <f t="shared" si="2"/>
        <v>1.0501885088373362E-5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5.5" customHeight="1" x14ac:dyDescent="0.35">
      <c r="A681" s="5"/>
      <c r="B681" s="20"/>
      <c r="C681" s="6"/>
      <c r="D681" s="6" t="s">
        <v>685</v>
      </c>
      <c r="E681" s="11">
        <v>1</v>
      </c>
      <c r="F681" s="19">
        <f t="shared" si="2"/>
        <v>1.0501885088373362E-5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5.5" customHeight="1" x14ac:dyDescent="0.35">
      <c r="A682" s="5"/>
      <c r="B682" s="20"/>
      <c r="C682" s="6"/>
      <c r="D682" s="6" t="s">
        <v>686</v>
      </c>
      <c r="E682" s="11">
        <v>1</v>
      </c>
      <c r="F682" s="19">
        <f t="shared" si="2"/>
        <v>1.0501885088373362E-5</v>
      </c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5.5" customHeight="1" x14ac:dyDescent="0.35">
      <c r="A683" s="5"/>
      <c r="B683" s="20"/>
      <c r="C683" s="6"/>
      <c r="D683" s="6" t="s">
        <v>687</v>
      </c>
      <c r="E683" s="11">
        <v>1</v>
      </c>
      <c r="F683" s="19">
        <f t="shared" si="2"/>
        <v>1.0501885088373362E-5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5.5" customHeight="1" x14ac:dyDescent="0.35">
      <c r="A684" s="5"/>
      <c r="B684" s="20"/>
      <c r="C684" s="6"/>
      <c r="D684" s="6" t="s">
        <v>688</v>
      </c>
      <c r="E684" s="11">
        <v>1</v>
      </c>
      <c r="F684" s="19">
        <f t="shared" si="2"/>
        <v>1.0501885088373362E-5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5.5" customHeight="1" x14ac:dyDescent="0.35">
      <c r="A685" s="5"/>
      <c r="B685" s="20"/>
      <c r="C685" s="6"/>
      <c r="D685" s="6" t="s">
        <v>689</v>
      </c>
      <c r="E685" s="11">
        <v>1</v>
      </c>
      <c r="F685" s="19">
        <f t="shared" si="2"/>
        <v>1.0501885088373362E-5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5.5" customHeight="1" x14ac:dyDescent="0.35">
      <c r="A686" s="5"/>
      <c r="B686" s="20"/>
      <c r="C686" s="6"/>
      <c r="D686" s="6" t="s">
        <v>690</v>
      </c>
      <c r="E686" s="11">
        <v>1</v>
      </c>
      <c r="F686" s="19">
        <f t="shared" si="2"/>
        <v>1.0501885088373362E-5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5.5" customHeight="1" x14ac:dyDescent="0.35">
      <c r="A687" s="5"/>
      <c r="B687" s="20"/>
      <c r="C687" s="6"/>
      <c r="D687" s="6" t="s">
        <v>691</v>
      </c>
      <c r="E687" s="11">
        <v>1</v>
      </c>
      <c r="F687" s="19">
        <f t="shared" si="2"/>
        <v>1.0501885088373362E-5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5.5" customHeight="1" x14ac:dyDescent="0.35">
      <c r="A688" s="5"/>
      <c r="B688" s="20"/>
      <c r="C688" s="6"/>
      <c r="D688" s="6" t="s">
        <v>692</v>
      </c>
      <c r="E688" s="11">
        <v>1</v>
      </c>
      <c r="F688" s="19">
        <f t="shared" si="2"/>
        <v>1.0501885088373362E-5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5.5" customHeight="1" x14ac:dyDescent="0.35">
      <c r="A689" s="5"/>
      <c r="B689" s="20"/>
      <c r="C689" s="6"/>
      <c r="D689" s="6" t="s">
        <v>693</v>
      </c>
      <c r="E689" s="11">
        <v>1</v>
      </c>
      <c r="F689" s="19">
        <f t="shared" si="2"/>
        <v>1.0501885088373362E-5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5.5" customHeight="1" x14ac:dyDescent="0.35">
      <c r="A690" s="5"/>
      <c r="B690" s="20"/>
      <c r="C690" s="6"/>
      <c r="D690" s="6" t="s">
        <v>694</v>
      </c>
      <c r="E690" s="11">
        <v>1</v>
      </c>
      <c r="F690" s="19">
        <f t="shared" si="2"/>
        <v>1.0501885088373362E-5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5.5" customHeight="1" x14ac:dyDescent="0.35">
      <c r="A691" s="5"/>
      <c r="B691" s="20"/>
      <c r="C691" s="6"/>
      <c r="D691" s="6" t="s">
        <v>695</v>
      </c>
      <c r="E691" s="11">
        <v>1</v>
      </c>
      <c r="F691" s="19">
        <f t="shared" si="2"/>
        <v>1.0501885088373362E-5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5.5" customHeight="1" x14ac:dyDescent="0.35">
      <c r="A692" s="5"/>
      <c r="B692" s="20"/>
      <c r="C692" s="6"/>
      <c r="D692" s="6" t="s">
        <v>696</v>
      </c>
      <c r="E692" s="11">
        <v>1</v>
      </c>
      <c r="F692" s="19">
        <f t="shared" si="2"/>
        <v>1.0501885088373362E-5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5.5" customHeight="1" x14ac:dyDescent="0.35">
      <c r="A693" s="5"/>
      <c r="B693" s="20"/>
      <c r="C693" s="6"/>
      <c r="D693" s="6" t="s">
        <v>697</v>
      </c>
      <c r="E693" s="11">
        <v>1</v>
      </c>
      <c r="F693" s="19">
        <f t="shared" si="2"/>
        <v>1.0501885088373362E-5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5.5" customHeight="1" x14ac:dyDescent="0.35">
      <c r="A694" s="5"/>
      <c r="B694" s="20"/>
      <c r="C694" s="6"/>
      <c r="D694" s="6" t="s">
        <v>698</v>
      </c>
      <c r="E694" s="11">
        <v>1</v>
      </c>
      <c r="F694" s="19">
        <f t="shared" si="2"/>
        <v>1.0501885088373362E-5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5.5" customHeight="1" x14ac:dyDescent="0.35">
      <c r="A695" s="5"/>
      <c r="B695" s="20"/>
      <c r="C695" s="6"/>
      <c r="D695" s="6" t="s">
        <v>699</v>
      </c>
      <c r="E695" s="11">
        <v>1</v>
      </c>
      <c r="F695" s="19">
        <f t="shared" si="2"/>
        <v>1.0501885088373362E-5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5.5" customHeight="1" x14ac:dyDescent="0.35">
      <c r="A696" s="5"/>
      <c r="B696" s="20"/>
      <c r="C696" s="6"/>
      <c r="D696" s="6" t="s">
        <v>700</v>
      </c>
      <c r="E696" s="11">
        <v>1</v>
      </c>
      <c r="F696" s="19">
        <f t="shared" si="2"/>
        <v>1.0501885088373362E-5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5.5" customHeight="1" x14ac:dyDescent="0.35">
      <c r="A697" s="5"/>
      <c r="B697" s="20"/>
      <c r="C697" s="6"/>
      <c r="D697" s="6" t="s">
        <v>701</v>
      </c>
      <c r="E697" s="11">
        <v>1</v>
      </c>
      <c r="F697" s="19">
        <f t="shared" si="2"/>
        <v>1.0501885088373362E-5</v>
      </c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5.5" customHeight="1" x14ac:dyDescent="0.35">
      <c r="A698" s="5"/>
      <c r="B698" s="20"/>
      <c r="C698" s="6"/>
      <c r="D698" s="6" t="s">
        <v>702</v>
      </c>
      <c r="E698" s="11">
        <v>1</v>
      </c>
      <c r="F698" s="19">
        <f t="shared" si="2"/>
        <v>1.0501885088373362E-5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5.5" customHeight="1" x14ac:dyDescent="0.35">
      <c r="A699" s="5"/>
      <c r="B699" s="20"/>
      <c r="C699" s="6"/>
      <c r="D699" s="6" t="s">
        <v>703</v>
      </c>
      <c r="E699" s="11">
        <v>1</v>
      </c>
      <c r="F699" s="19">
        <f t="shared" si="2"/>
        <v>1.0501885088373362E-5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5.5" customHeight="1" x14ac:dyDescent="0.35">
      <c r="A700" s="5"/>
      <c r="B700" s="20"/>
      <c r="C700" s="6"/>
      <c r="D700" s="6" t="s">
        <v>704</v>
      </c>
      <c r="E700" s="11">
        <v>1</v>
      </c>
      <c r="F700" s="19">
        <f t="shared" si="2"/>
        <v>1.0501885088373362E-5</v>
      </c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5.5" customHeight="1" x14ac:dyDescent="0.35">
      <c r="A701" s="5"/>
      <c r="B701" s="20"/>
      <c r="C701" s="6"/>
      <c r="D701" s="6" t="s">
        <v>705</v>
      </c>
      <c r="E701" s="11">
        <v>1</v>
      </c>
      <c r="F701" s="19">
        <f t="shared" si="2"/>
        <v>1.0501885088373362E-5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5.5" customHeight="1" x14ac:dyDescent="0.35">
      <c r="A702" s="5"/>
      <c r="B702" s="20"/>
      <c r="C702" s="6"/>
      <c r="D702" s="6" t="s">
        <v>706</v>
      </c>
      <c r="E702" s="11">
        <v>1</v>
      </c>
      <c r="F702" s="19">
        <f t="shared" si="2"/>
        <v>1.0501885088373362E-5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5.5" customHeight="1" x14ac:dyDescent="0.35">
      <c r="A703" s="5"/>
      <c r="B703" s="20"/>
      <c r="C703" s="6"/>
      <c r="D703" s="6" t="s">
        <v>707</v>
      </c>
      <c r="E703" s="11">
        <v>1</v>
      </c>
      <c r="F703" s="19">
        <f t="shared" si="2"/>
        <v>1.0501885088373362E-5</v>
      </c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5.5" customHeight="1" x14ac:dyDescent="0.35">
      <c r="A704" s="5"/>
      <c r="B704" s="20"/>
      <c r="C704" s="6"/>
      <c r="D704" s="6" t="s">
        <v>708</v>
      </c>
      <c r="E704" s="11">
        <v>1</v>
      </c>
      <c r="F704" s="19">
        <f t="shared" si="2"/>
        <v>1.0501885088373362E-5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5.5" customHeight="1" x14ac:dyDescent="0.35">
      <c r="A705" s="5"/>
      <c r="B705" s="20"/>
      <c r="C705" s="6"/>
      <c r="D705" s="6" t="s">
        <v>709</v>
      </c>
      <c r="E705" s="11">
        <v>1</v>
      </c>
      <c r="F705" s="19">
        <f t="shared" si="2"/>
        <v>1.0501885088373362E-5</v>
      </c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5.5" customHeight="1" x14ac:dyDescent="0.35">
      <c r="A706" s="5"/>
      <c r="B706" s="20"/>
      <c r="C706" s="6"/>
      <c r="D706" s="6" t="s">
        <v>710</v>
      </c>
      <c r="E706" s="11">
        <v>1</v>
      </c>
      <c r="F706" s="19">
        <f t="shared" si="2"/>
        <v>1.0501885088373362E-5</v>
      </c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5.5" customHeight="1" x14ac:dyDescent="0.35">
      <c r="A707" s="5"/>
      <c r="B707" s="20"/>
      <c r="C707" s="6"/>
      <c r="D707" s="6" t="s">
        <v>711</v>
      </c>
      <c r="E707" s="11">
        <v>1</v>
      </c>
      <c r="F707" s="19">
        <f t="shared" si="2"/>
        <v>1.0501885088373362E-5</v>
      </c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5.5" customHeight="1" x14ac:dyDescent="0.35">
      <c r="A708" s="5"/>
      <c r="B708" s="20"/>
      <c r="C708" s="6"/>
      <c r="D708" s="6" t="s">
        <v>712</v>
      </c>
      <c r="E708" s="11">
        <v>1</v>
      </c>
      <c r="F708" s="19">
        <f t="shared" si="2"/>
        <v>1.0501885088373362E-5</v>
      </c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5.5" customHeight="1" x14ac:dyDescent="0.35">
      <c r="A709" s="5"/>
      <c r="B709" s="20"/>
      <c r="C709" s="6"/>
      <c r="D709" s="6" t="s">
        <v>713</v>
      </c>
      <c r="E709" s="11">
        <v>1</v>
      </c>
      <c r="F709" s="19">
        <f t="shared" si="2"/>
        <v>1.0501885088373362E-5</v>
      </c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5.5" customHeight="1" x14ac:dyDescent="0.35">
      <c r="A710" s="5"/>
      <c r="B710" s="20"/>
      <c r="C710" s="6"/>
      <c r="D710" s="6" t="s">
        <v>714</v>
      </c>
      <c r="E710" s="11">
        <v>1</v>
      </c>
      <c r="F710" s="19">
        <f t="shared" si="2"/>
        <v>1.0501885088373362E-5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5.5" customHeight="1" x14ac:dyDescent="0.35">
      <c r="A711" s="5"/>
      <c r="B711" s="20"/>
      <c r="C711" s="6"/>
      <c r="D711" s="6" t="s">
        <v>715</v>
      </c>
      <c r="E711" s="11">
        <v>1</v>
      </c>
      <c r="F711" s="19">
        <f t="shared" si="2"/>
        <v>1.0501885088373362E-5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5.5" customHeight="1" x14ac:dyDescent="0.35">
      <c r="A712" s="5"/>
      <c r="B712" s="20"/>
      <c r="C712" s="6"/>
      <c r="D712" s="6" t="s">
        <v>716</v>
      </c>
      <c r="E712" s="11">
        <v>1</v>
      </c>
      <c r="F712" s="19">
        <f t="shared" si="2"/>
        <v>1.0501885088373362E-5</v>
      </c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5.5" customHeight="1" x14ac:dyDescent="0.35">
      <c r="A713" s="5"/>
      <c r="B713" s="20"/>
      <c r="C713" s="6"/>
      <c r="D713" s="6" t="s">
        <v>717</v>
      </c>
      <c r="E713" s="11">
        <v>1</v>
      </c>
      <c r="F713" s="19">
        <f t="shared" si="2"/>
        <v>1.0501885088373362E-5</v>
      </c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5.5" customHeight="1" x14ac:dyDescent="0.35">
      <c r="A714" s="5"/>
      <c r="B714" s="20"/>
      <c r="C714" s="6"/>
      <c r="D714" s="6" t="s">
        <v>718</v>
      </c>
      <c r="E714" s="11">
        <v>1</v>
      </c>
      <c r="F714" s="19">
        <f t="shared" si="2"/>
        <v>1.0501885088373362E-5</v>
      </c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5.5" customHeight="1" x14ac:dyDescent="0.35">
      <c r="A715" s="5"/>
      <c r="B715" s="20"/>
      <c r="C715" s="6"/>
      <c r="D715" s="6" t="s">
        <v>719</v>
      </c>
      <c r="E715" s="11">
        <v>1</v>
      </c>
      <c r="F715" s="19">
        <f t="shared" si="2"/>
        <v>1.0501885088373362E-5</v>
      </c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5.5" customHeight="1" x14ac:dyDescent="0.35">
      <c r="A716" s="5"/>
      <c r="B716" s="20"/>
      <c r="C716" s="6"/>
      <c r="D716" s="6" t="s">
        <v>720</v>
      </c>
      <c r="E716" s="11">
        <v>1</v>
      </c>
      <c r="F716" s="19">
        <f t="shared" si="2"/>
        <v>1.0501885088373362E-5</v>
      </c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5.5" customHeight="1" x14ac:dyDescent="0.35">
      <c r="A717" s="5"/>
      <c r="B717" s="20"/>
      <c r="C717" s="6"/>
      <c r="D717" s="6" t="s">
        <v>721</v>
      </c>
      <c r="E717" s="11">
        <v>1</v>
      </c>
      <c r="F717" s="19">
        <f t="shared" si="2"/>
        <v>1.0501885088373362E-5</v>
      </c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5.5" customHeight="1" x14ac:dyDescent="0.35">
      <c r="A718" s="5"/>
      <c r="B718" s="20"/>
      <c r="C718" s="6"/>
      <c r="D718" s="6" t="s">
        <v>722</v>
      </c>
      <c r="E718" s="11">
        <v>1</v>
      </c>
      <c r="F718" s="19">
        <f t="shared" si="2"/>
        <v>1.0501885088373362E-5</v>
      </c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5.5" customHeight="1" x14ac:dyDescent="0.35">
      <c r="A719" s="5"/>
      <c r="B719" s="20"/>
      <c r="C719" s="6"/>
      <c r="D719" s="6" t="s">
        <v>723</v>
      </c>
      <c r="E719" s="11">
        <v>1</v>
      </c>
      <c r="F719" s="19">
        <f t="shared" si="2"/>
        <v>1.0501885088373362E-5</v>
      </c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5.5" customHeight="1" x14ac:dyDescent="0.35">
      <c r="A720" s="5"/>
      <c r="B720" s="20"/>
      <c r="C720" s="6"/>
      <c r="D720" s="6" t="s">
        <v>724</v>
      </c>
      <c r="E720" s="11">
        <v>1</v>
      </c>
      <c r="F720" s="19">
        <f t="shared" si="2"/>
        <v>1.0501885088373362E-5</v>
      </c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5.5" customHeight="1" x14ac:dyDescent="0.35">
      <c r="A721" s="5"/>
      <c r="B721" s="20"/>
      <c r="C721" s="6"/>
      <c r="D721" s="6" t="s">
        <v>725</v>
      </c>
      <c r="E721" s="11">
        <v>1</v>
      </c>
      <c r="F721" s="19">
        <f t="shared" si="2"/>
        <v>1.0501885088373362E-5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5.5" customHeight="1" x14ac:dyDescent="0.35">
      <c r="A722" s="5"/>
      <c r="B722" s="20"/>
      <c r="C722" s="6"/>
      <c r="D722" s="6" t="s">
        <v>726</v>
      </c>
      <c r="E722" s="11">
        <v>1</v>
      </c>
      <c r="F722" s="19">
        <f t="shared" si="2"/>
        <v>1.0501885088373362E-5</v>
      </c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5.5" customHeight="1" x14ac:dyDescent="0.35">
      <c r="A723" s="5"/>
      <c r="B723" s="20"/>
      <c r="C723" s="6"/>
      <c r="D723" s="6" t="s">
        <v>727</v>
      </c>
      <c r="E723" s="11">
        <v>1</v>
      </c>
      <c r="F723" s="19">
        <f t="shared" si="2"/>
        <v>1.0501885088373362E-5</v>
      </c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5.5" customHeight="1" x14ac:dyDescent="0.35">
      <c r="A724" s="5"/>
      <c r="B724" s="20"/>
      <c r="C724" s="6"/>
      <c r="D724" s="6" t="s">
        <v>728</v>
      </c>
      <c r="E724" s="11">
        <v>1</v>
      </c>
      <c r="F724" s="19">
        <f t="shared" si="2"/>
        <v>1.0501885088373362E-5</v>
      </c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5.5" customHeight="1" x14ac:dyDescent="0.35">
      <c r="A725" s="5"/>
      <c r="B725" s="20"/>
      <c r="C725" s="6"/>
      <c r="D725" s="6" t="s">
        <v>729</v>
      </c>
      <c r="E725" s="11">
        <v>1</v>
      </c>
      <c r="F725" s="19">
        <f t="shared" si="2"/>
        <v>1.0501885088373362E-5</v>
      </c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5.5" customHeight="1" x14ac:dyDescent="0.35">
      <c r="A726" s="5"/>
      <c r="B726" s="20"/>
      <c r="C726" s="6"/>
      <c r="D726" s="6" t="s">
        <v>730</v>
      </c>
      <c r="E726" s="11">
        <v>1</v>
      </c>
      <c r="F726" s="19">
        <f t="shared" si="2"/>
        <v>1.0501885088373362E-5</v>
      </c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5.5" customHeight="1" x14ac:dyDescent="0.35">
      <c r="A727" s="5"/>
      <c r="B727" s="20"/>
      <c r="C727" s="6"/>
      <c r="D727" s="6" t="s">
        <v>731</v>
      </c>
      <c r="E727" s="11">
        <v>1</v>
      </c>
      <c r="F727" s="19">
        <f t="shared" si="2"/>
        <v>1.0501885088373362E-5</v>
      </c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5.5" customHeight="1" x14ac:dyDescent="0.35">
      <c r="A728" s="5"/>
      <c r="B728" s="20"/>
      <c r="C728" s="6"/>
      <c r="D728" s="6" t="s">
        <v>732</v>
      </c>
      <c r="E728" s="11">
        <v>1</v>
      </c>
      <c r="F728" s="19">
        <f t="shared" si="2"/>
        <v>1.0501885088373362E-5</v>
      </c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5.5" customHeight="1" x14ac:dyDescent="0.35">
      <c r="A729" s="5"/>
      <c r="B729" s="20"/>
      <c r="C729" s="6"/>
      <c r="D729" s="6" t="s">
        <v>733</v>
      </c>
      <c r="E729" s="11">
        <v>1</v>
      </c>
      <c r="F729" s="19">
        <f t="shared" si="2"/>
        <v>1.0501885088373362E-5</v>
      </c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5.5" customHeight="1" x14ac:dyDescent="0.35">
      <c r="A730" s="5"/>
      <c r="B730" s="20"/>
      <c r="C730" s="6"/>
      <c r="D730" s="6" t="s">
        <v>734</v>
      </c>
      <c r="E730" s="11">
        <v>1</v>
      </c>
      <c r="F730" s="19">
        <f t="shared" si="2"/>
        <v>1.0501885088373362E-5</v>
      </c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5.5" customHeight="1" x14ac:dyDescent="0.35">
      <c r="A731" s="5"/>
      <c r="B731" s="20"/>
      <c r="C731" s="6"/>
      <c r="D731" s="6" t="s">
        <v>735</v>
      </c>
      <c r="E731" s="11">
        <v>1</v>
      </c>
      <c r="F731" s="19">
        <f t="shared" si="2"/>
        <v>1.0501885088373362E-5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5.5" customHeight="1" x14ac:dyDescent="0.35">
      <c r="A732" s="5"/>
      <c r="B732" s="20"/>
      <c r="C732" s="6"/>
      <c r="D732" s="6" t="s">
        <v>736</v>
      </c>
      <c r="E732" s="11">
        <v>1</v>
      </c>
      <c r="F732" s="19">
        <f t="shared" si="2"/>
        <v>1.0501885088373362E-5</v>
      </c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5.5" customHeight="1" x14ac:dyDescent="0.35">
      <c r="A733" s="5"/>
      <c r="B733" s="20"/>
      <c r="C733" s="6"/>
      <c r="D733" s="6" t="s">
        <v>737</v>
      </c>
      <c r="E733" s="11">
        <v>1</v>
      </c>
      <c r="F733" s="19">
        <f t="shared" si="2"/>
        <v>1.0501885088373362E-5</v>
      </c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5.5" customHeight="1" x14ac:dyDescent="0.35">
      <c r="A734" s="5"/>
      <c r="B734" s="20"/>
      <c r="C734" s="6"/>
      <c r="D734" s="6" t="s">
        <v>738</v>
      </c>
      <c r="E734" s="11">
        <v>1</v>
      </c>
      <c r="F734" s="19">
        <f t="shared" si="2"/>
        <v>1.0501885088373362E-5</v>
      </c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5.5" customHeight="1" x14ac:dyDescent="0.35">
      <c r="A735" s="5"/>
      <c r="B735" s="20"/>
      <c r="C735" s="6"/>
      <c r="D735" s="6" t="s">
        <v>739</v>
      </c>
      <c r="E735" s="11">
        <v>1</v>
      </c>
      <c r="F735" s="19">
        <f t="shared" si="2"/>
        <v>1.0501885088373362E-5</v>
      </c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5.5" customHeight="1" x14ac:dyDescent="0.35">
      <c r="A736" s="5"/>
      <c r="B736" s="20"/>
      <c r="C736" s="6"/>
      <c r="D736" s="6" t="s">
        <v>740</v>
      </c>
      <c r="E736" s="11">
        <v>1</v>
      </c>
      <c r="F736" s="19">
        <f t="shared" si="2"/>
        <v>1.0501885088373362E-5</v>
      </c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5.5" customHeight="1" x14ac:dyDescent="0.35">
      <c r="A737" s="5"/>
      <c r="B737" s="20"/>
      <c r="C737" s="6"/>
      <c r="D737" s="6" t="s">
        <v>741</v>
      </c>
      <c r="E737" s="11">
        <v>1</v>
      </c>
      <c r="F737" s="19">
        <f t="shared" si="2"/>
        <v>1.0501885088373362E-5</v>
      </c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5.5" customHeight="1" x14ac:dyDescent="0.35">
      <c r="A738" s="5"/>
      <c r="B738" s="20"/>
      <c r="C738" s="6"/>
      <c r="D738" s="6" t="s">
        <v>742</v>
      </c>
      <c r="E738" s="11">
        <v>1</v>
      </c>
      <c r="F738" s="19">
        <f t="shared" si="2"/>
        <v>1.0501885088373362E-5</v>
      </c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5.5" customHeight="1" x14ac:dyDescent="0.35">
      <c r="A739" s="5"/>
      <c r="B739" s="20"/>
      <c r="C739" s="6"/>
      <c r="D739" s="6" t="s">
        <v>743</v>
      </c>
      <c r="E739" s="11">
        <v>1</v>
      </c>
      <c r="F739" s="19">
        <f t="shared" si="2"/>
        <v>1.0501885088373362E-5</v>
      </c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5.5" customHeight="1" x14ac:dyDescent="0.35">
      <c r="A740" s="5"/>
      <c r="B740" s="20"/>
      <c r="C740" s="6"/>
      <c r="D740" s="6" t="s">
        <v>744</v>
      </c>
      <c r="E740" s="11">
        <v>1</v>
      </c>
      <c r="F740" s="19">
        <f t="shared" si="2"/>
        <v>1.0501885088373362E-5</v>
      </c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5.5" customHeight="1" x14ac:dyDescent="0.35">
      <c r="A741" s="5"/>
      <c r="B741" s="20"/>
      <c r="C741" s="6"/>
      <c r="D741" s="6" t="s">
        <v>745</v>
      </c>
      <c r="E741" s="11">
        <v>1</v>
      </c>
      <c r="F741" s="19">
        <f t="shared" si="2"/>
        <v>1.0501885088373362E-5</v>
      </c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5.5" customHeight="1" x14ac:dyDescent="0.35">
      <c r="A742" s="5"/>
      <c r="B742" s="20"/>
      <c r="C742" s="6"/>
      <c r="D742" s="6" t="s">
        <v>746</v>
      </c>
      <c r="E742" s="11">
        <v>1</v>
      </c>
      <c r="F742" s="19">
        <f t="shared" si="2"/>
        <v>1.0501885088373362E-5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5.5" customHeight="1" x14ac:dyDescent="0.35">
      <c r="A743" s="5"/>
      <c r="B743" s="20"/>
      <c r="C743" s="6"/>
      <c r="D743" s="6" t="s">
        <v>747</v>
      </c>
      <c r="E743" s="11">
        <v>1</v>
      </c>
      <c r="F743" s="19">
        <f t="shared" si="2"/>
        <v>1.0501885088373362E-5</v>
      </c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5.5" customHeight="1" x14ac:dyDescent="0.35">
      <c r="A744" s="5"/>
      <c r="B744" s="20"/>
      <c r="C744" s="6"/>
      <c r="D744" s="6" t="s">
        <v>748</v>
      </c>
      <c r="E744" s="11">
        <v>1</v>
      </c>
      <c r="F744" s="19">
        <f t="shared" si="2"/>
        <v>1.0501885088373362E-5</v>
      </c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5.5" customHeight="1" x14ac:dyDescent="0.35">
      <c r="A745" s="5"/>
      <c r="B745" s="20"/>
      <c r="C745" s="6"/>
      <c r="D745" s="6" t="s">
        <v>749</v>
      </c>
      <c r="E745" s="11">
        <v>1</v>
      </c>
      <c r="F745" s="19">
        <f t="shared" si="2"/>
        <v>1.0501885088373362E-5</v>
      </c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5.5" customHeight="1" x14ac:dyDescent="0.35">
      <c r="A746" s="5"/>
      <c r="B746" s="20"/>
      <c r="C746" s="6"/>
      <c r="D746" s="6" t="s">
        <v>750</v>
      </c>
      <c r="E746" s="11">
        <v>1</v>
      </c>
      <c r="F746" s="19">
        <f t="shared" si="2"/>
        <v>1.0501885088373362E-5</v>
      </c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5.5" customHeight="1" x14ac:dyDescent="0.35">
      <c r="A747" s="5"/>
      <c r="B747" s="20"/>
      <c r="C747" s="6"/>
      <c r="D747" s="6" t="s">
        <v>751</v>
      </c>
      <c r="E747" s="11">
        <v>1</v>
      </c>
      <c r="F747" s="19">
        <f t="shared" si="2"/>
        <v>1.0501885088373362E-5</v>
      </c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5.5" customHeight="1" x14ac:dyDescent="0.35">
      <c r="A748" s="5"/>
      <c r="B748" s="20"/>
      <c r="C748" s="6"/>
      <c r="D748" s="6" t="s">
        <v>752</v>
      </c>
      <c r="E748" s="11">
        <v>1</v>
      </c>
      <c r="F748" s="19">
        <f t="shared" si="2"/>
        <v>1.0501885088373362E-5</v>
      </c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5.5" customHeight="1" x14ac:dyDescent="0.35">
      <c r="A749" s="5"/>
      <c r="B749" s="20"/>
      <c r="C749" s="6"/>
      <c r="D749" s="6" t="s">
        <v>753</v>
      </c>
      <c r="E749" s="11">
        <v>1</v>
      </c>
      <c r="F749" s="19">
        <f t="shared" si="2"/>
        <v>1.0501885088373362E-5</v>
      </c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5.5" customHeight="1" x14ac:dyDescent="0.35">
      <c r="A750" s="5"/>
      <c r="B750" s="20"/>
      <c r="C750" s="6"/>
      <c r="D750" s="6" t="s">
        <v>754</v>
      </c>
      <c r="E750" s="11">
        <v>1</v>
      </c>
      <c r="F750" s="19">
        <f t="shared" si="2"/>
        <v>1.0501885088373362E-5</v>
      </c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5.5" customHeight="1" x14ac:dyDescent="0.35">
      <c r="A751" s="5"/>
      <c r="B751" s="20"/>
      <c r="C751" s="6"/>
      <c r="D751" s="6" t="s">
        <v>755</v>
      </c>
      <c r="E751" s="11">
        <v>1</v>
      </c>
      <c r="F751" s="19">
        <f t="shared" si="2"/>
        <v>1.0501885088373362E-5</v>
      </c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5.5" customHeight="1" x14ac:dyDescent="0.35">
      <c r="A752" s="5"/>
      <c r="B752" s="20"/>
      <c r="C752" s="6"/>
      <c r="D752" s="6" t="s">
        <v>756</v>
      </c>
      <c r="E752" s="11">
        <v>1</v>
      </c>
      <c r="F752" s="19">
        <f t="shared" si="2"/>
        <v>1.0501885088373362E-5</v>
      </c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5.5" customHeight="1" x14ac:dyDescent="0.35">
      <c r="A753" s="5"/>
      <c r="B753" s="20"/>
      <c r="C753" s="6"/>
      <c r="D753" s="6" t="s">
        <v>757</v>
      </c>
      <c r="E753" s="11">
        <v>1</v>
      </c>
      <c r="F753" s="19">
        <f t="shared" si="2"/>
        <v>1.0501885088373362E-5</v>
      </c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5.5" customHeight="1" x14ac:dyDescent="0.35">
      <c r="A754" s="5"/>
      <c r="B754" s="20"/>
      <c r="C754" s="6"/>
      <c r="D754" s="6" t="s">
        <v>758</v>
      </c>
      <c r="E754" s="11">
        <v>1</v>
      </c>
      <c r="F754" s="19">
        <f t="shared" si="2"/>
        <v>1.0501885088373362E-5</v>
      </c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5.5" customHeight="1" x14ac:dyDescent="0.35">
      <c r="A755" s="5"/>
      <c r="B755" s="20"/>
      <c r="C755" s="6"/>
      <c r="D755" s="6" t="s">
        <v>759</v>
      </c>
      <c r="E755" s="11">
        <v>1</v>
      </c>
      <c r="F755" s="19">
        <f t="shared" si="2"/>
        <v>1.0501885088373362E-5</v>
      </c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5.5" customHeight="1" x14ac:dyDescent="0.35">
      <c r="A756" s="5"/>
      <c r="B756" s="20"/>
      <c r="C756" s="6"/>
      <c r="D756" s="6" t="s">
        <v>760</v>
      </c>
      <c r="E756" s="11">
        <v>1</v>
      </c>
      <c r="F756" s="19">
        <f t="shared" si="2"/>
        <v>1.0501885088373362E-5</v>
      </c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5.5" customHeight="1" x14ac:dyDescent="0.35">
      <c r="A757" s="5"/>
      <c r="B757" s="20"/>
      <c r="C757" s="6"/>
      <c r="D757" s="6" t="s">
        <v>761</v>
      </c>
      <c r="E757" s="11">
        <v>1</v>
      </c>
      <c r="F757" s="19">
        <f t="shared" si="2"/>
        <v>1.0501885088373362E-5</v>
      </c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5.5" customHeight="1" x14ac:dyDescent="0.35">
      <c r="A758" s="5"/>
      <c r="B758" s="20"/>
      <c r="C758" s="6"/>
      <c r="D758" s="6" t="s">
        <v>762</v>
      </c>
      <c r="E758" s="11">
        <v>1</v>
      </c>
      <c r="F758" s="19">
        <f t="shared" si="2"/>
        <v>1.0501885088373362E-5</v>
      </c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5.5" customHeight="1" x14ac:dyDescent="0.35">
      <c r="A759" s="5"/>
      <c r="B759" s="20"/>
      <c r="C759" s="6"/>
      <c r="D759" s="6" t="s">
        <v>763</v>
      </c>
      <c r="E759" s="11">
        <v>1</v>
      </c>
      <c r="F759" s="19">
        <f t="shared" si="2"/>
        <v>1.0501885088373362E-5</v>
      </c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5.5" customHeight="1" x14ac:dyDescent="0.35">
      <c r="A760" s="5"/>
      <c r="B760" s="20"/>
      <c r="C760" s="6"/>
      <c r="D760" s="6" t="s">
        <v>764</v>
      </c>
      <c r="E760" s="11">
        <v>1</v>
      </c>
      <c r="F760" s="19">
        <f t="shared" si="2"/>
        <v>1.0501885088373362E-5</v>
      </c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5.5" customHeight="1" x14ac:dyDescent="0.35">
      <c r="A761" s="5"/>
      <c r="B761" s="20"/>
      <c r="C761" s="6"/>
      <c r="D761" s="6" t="s">
        <v>765</v>
      </c>
      <c r="E761" s="11">
        <v>1</v>
      </c>
      <c r="F761" s="19">
        <f t="shared" si="2"/>
        <v>1.0501885088373362E-5</v>
      </c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5.5" customHeight="1" x14ac:dyDescent="0.35">
      <c r="A762" s="5"/>
      <c r="B762" s="20"/>
      <c r="C762" s="6"/>
      <c r="D762" s="6" t="s">
        <v>766</v>
      </c>
      <c r="E762" s="11">
        <v>1</v>
      </c>
      <c r="F762" s="19">
        <f t="shared" si="2"/>
        <v>1.0501885088373362E-5</v>
      </c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5.5" customHeight="1" x14ac:dyDescent="0.35">
      <c r="A763" s="5"/>
      <c r="B763" s="20"/>
      <c r="C763" s="6"/>
      <c r="D763" s="6" t="s">
        <v>767</v>
      </c>
      <c r="E763" s="11">
        <v>1</v>
      </c>
      <c r="F763" s="19">
        <f t="shared" si="2"/>
        <v>1.0501885088373362E-5</v>
      </c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5.5" customHeight="1" x14ac:dyDescent="0.35">
      <c r="A764" s="5"/>
      <c r="B764" s="20"/>
      <c r="C764" s="6"/>
      <c r="D764" s="6" t="s">
        <v>768</v>
      </c>
      <c r="E764" s="11">
        <v>1</v>
      </c>
      <c r="F764" s="19">
        <f t="shared" si="2"/>
        <v>1.0501885088373362E-5</v>
      </c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5.5" customHeight="1" x14ac:dyDescent="0.35">
      <c r="A765" s="5"/>
      <c r="B765" s="20"/>
      <c r="C765" s="6"/>
      <c r="D765" s="6" t="s">
        <v>769</v>
      </c>
      <c r="E765" s="11">
        <v>1</v>
      </c>
      <c r="F765" s="19">
        <f t="shared" si="2"/>
        <v>1.0501885088373362E-5</v>
      </c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5.5" customHeight="1" x14ac:dyDescent="0.35">
      <c r="A766" s="5"/>
      <c r="B766" s="20"/>
      <c r="C766" s="6"/>
      <c r="D766" s="6" t="s">
        <v>770</v>
      </c>
      <c r="E766" s="11">
        <v>1</v>
      </c>
      <c r="F766" s="19">
        <f t="shared" si="2"/>
        <v>1.0501885088373362E-5</v>
      </c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5.5" customHeight="1" x14ac:dyDescent="0.35">
      <c r="A767" s="5"/>
      <c r="B767" s="20"/>
      <c r="C767" s="6"/>
      <c r="D767" s="6" t="s">
        <v>771</v>
      </c>
      <c r="E767" s="11">
        <v>1</v>
      </c>
      <c r="F767" s="19">
        <f t="shared" si="2"/>
        <v>1.0501885088373362E-5</v>
      </c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5.5" customHeight="1" x14ac:dyDescent="0.35">
      <c r="A768" s="5"/>
      <c r="B768" s="20"/>
      <c r="C768" s="6"/>
      <c r="D768" s="6" t="s">
        <v>772</v>
      </c>
      <c r="E768" s="11">
        <v>1</v>
      </c>
      <c r="F768" s="19">
        <f t="shared" si="2"/>
        <v>1.0501885088373362E-5</v>
      </c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5.5" customHeight="1" x14ac:dyDescent="0.35">
      <c r="A769" s="5"/>
      <c r="B769" s="20"/>
      <c r="C769" s="6"/>
      <c r="D769" s="6" t="s">
        <v>773</v>
      </c>
      <c r="E769" s="11">
        <v>1</v>
      </c>
      <c r="F769" s="19">
        <f t="shared" si="2"/>
        <v>1.0501885088373362E-5</v>
      </c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5.5" customHeight="1" x14ac:dyDescent="0.35">
      <c r="A770" s="5"/>
      <c r="B770" s="20"/>
      <c r="C770" s="6"/>
      <c r="D770" s="6" t="s">
        <v>774</v>
      </c>
      <c r="E770" s="11">
        <v>1</v>
      </c>
      <c r="F770" s="19">
        <f t="shared" si="2"/>
        <v>1.0501885088373362E-5</v>
      </c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5.5" customHeight="1" x14ac:dyDescent="0.35">
      <c r="A771" s="5"/>
      <c r="B771" s="20"/>
      <c r="C771" s="6"/>
      <c r="D771" s="6" t="s">
        <v>775</v>
      </c>
      <c r="E771" s="11">
        <v>1</v>
      </c>
      <c r="F771" s="19">
        <f t="shared" si="2"/>
        <v>1.0501885088373362E-5</v>
      </c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5.5" customHeight="1" x14ac:dyDescent="0.35">
      <c r="A772" s="5"/>
      <c r="B772" s="20"/>
      <c r="C772" s="6"/>
      <c r="D772" s="6" t="s">
        <v>776</v>
      </c>
      <c r="E772" s="11">
        <v>1</v>
      </c>
      <c r="F772" s="19">
        <f t="shared" si="2"/>
        <v>1.0501885088373362E-5</v>
      </c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5.5" customHeight="1" x14ac:dyDescent="0.35">
      <c r="A773" s="5"/>
      <c r="B773" s="20"/>
      <c r="C773" s="6"/>
      <c r="D773" s="6" t="s">
        <v>777</v>
      </c>
      <c r="E773" s="11">
        <v>1</v>
      </c>
      <c r="F773" s="19">
        <f t="shared" si="2"/>
        <v>1.0501885088373362E-5</v>
      </c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5.5" customHeight="1" x14ac:dyDescent="0.35">
      <c r="A774" s="5"/>
      <c r="B774" s="20"/>
      <c r="C774" s="6"/>
      <c r="D774" s="6" t="s">
        <v>778</v>
      </c>
      <c r="E774" s="11">
        <v>1</v>
      </c>
      <c r="F774" s="19">
        <f t="shared" ref="F774:F1028" si="3">E774/$E$6</f>
        <v>1.0501885088373362E-5</v>
      </c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5.5" customHeight="1" x14ac:dyDescent="0.35">
      <c r="A775" s="5"/>
      <c r="B775" s="20"/>
      <c r="C775" s="6"/>
      <c r="D775" s="6" t="s">
        <v>779</v>
      </c>
      <c r="E775" s="11">
        <v>1</v>
      </c>
      <c r="F775" s="19">
        <f t="shared" si="3"/>
        <v>1.0501885088373362E-5</v>
      </c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5.5" customHeight="1" x14ac:dyDescent="0.35">
      <c r="A776" s="5"/>
      <c r="B776" s="20"/>
      <c r="C776" s="6"/>
      <c r="D776" s="6" t="s">
        <v>780</v>
      </c>
      <c r="E776" s="11">
        <v>1</v>
      </c>
      <c r="F776" s="19">
        <f t="shared" si="3"/>
        <v>1.0501885088373362E-5</v>
      </c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5.5" customHeight="1" x14ac:dyDescent="0.35">
      <c r="A777" s="5"/>
      <c r="B777" s="20"/>
      <c r="C777" s="6"/>
      <c r="D777" s="6" t="s">
        <v>781</v>
      </c>
      <c r="E777" s="11">
        <v>1</v>
      </c>
      <c r="F777" s="19">
        <f t="shared" si="3"/>
        <v>1.0501885088373362E-5</v>
      </c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5.5" customHeight="1" x14ac:dyDescent="0.35">
      <c r="A778" s="5"/>
      <c r="B778" s="20"/>
      <c r="C778" s="6"/>
      <c r="D778" s="6" t="s">
        <v>782</v>
      </c>
      <c r="E778" s="11">
        <v>1</v>
      </c>
      <c r="F778" s="19">
        <f t="shared" si="3"/>
        <v>1.0501885088373362E-5</v>
      </c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5.5" customHeight="1" x14ac:dyDescent="0.35">
      <c r="A779" s="5"/>
      <c r="B779" s="20"/>
      <c r="C779" s="6"/>
      <c r="D779" s="6" t="s">
        <v>783</v>
      </c>
      <c r="E779" s="11">
        <v>1</v>
      </c>
      <c r="F779" s="19">
        <f t="shared" si="3"/>
        <v>1.0501885088373362E-5</v>
      </c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5.5" customHeight="1" x14ac:dyDescent="0.35">
      <c r="A780" s="5"/>
      <c r="B780" s="20"/>
      <c r="C780" s="6"/>
      <c r="D780" s="6" t="s">
        <v>784</v>
      </c>
      <c r="E780" s="11">
        <v>1</v>
      </c>
      <c r="F780" s="19">
        <f t="shared" si="3"/>
        <v>1.0501885088373362E-5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5.5" customHeight="1" x14ac:dyDescent="0.35">
      <c r="A781" s="5"/>
      <c r="B781" s="20"/>
      <c r="C781" s="6"/>
      <c r="D781" s="6" t="s">
        <v>785</v>
      </c>
      <c r="E781" s="11">
        <v>1</v>
      </c>
      <c r="F781" s="19">
        <f t="shared" si="3"/>
        <v>1.0501885088373362E-5</v>
      </c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5.5" customHeight="1" x14ac:dyDescent="0.35">
      <c r="A782" s="5"/>
      <c r="B782" s="20"/>
      <c r="C782" s="6"/>
      <c r="D782" s="6" t="s">
        <v>786</v>
      </c>
      <c r="E782" s="11">
        <v>1</v>
      </c>
      <c r="F782" s="19">
        <f t="shared" si="3"/>
        <v>1.0501885088373362E-5</v>
      </c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5.5" customHeight="1" x14ac:dyDescent="0.35">
      <c r="A783" s="5"/>
      <c r="B783" s="20"/>
      <c r="C783" s="6"/>
      <c r="D783" s="6" t="s">
        <v>787</v>
      </c>
      <c r="E783" s="11">
        <v>1</v>
      </c>
      <c r="F783" s="19">
        <f t="shared" si="3"/>
        <v>1.0501885088373362E-5</v>
      </c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5.5" customHeight="1" x14ac:dyDescent="0.35">
      <c r="A784" s="5"/>
      <c r="B784" s="20"/>
      <c r="C784" s="6"/>
      <c r="D784" s="6" t="s">
        <v>788</v>
      </c>
      <c r="E784" s="11">
        <v>1</v>
      </c>
      <c r="F784" s="19">
        <f t="shared" si="3"/>
        <v>1.0501885088373362E-5</v>
      </c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5.5" customHeight="1" x14ac:dyDescent="0.35">
      <c r="A785" s="5"/>
      <c r="B785" s="20"/>
      <c r="C785" s="6"/>
      <c r="D785" s="6" t="s">
        <v>789</v>
      </c>
      <c r="E785" s="11">
        <v>1</v>
      </c>
      <c r="F785" s="19">
        <f t="shared" si="3"/>
        <v>1.0501885088373362E-5</v>
      </c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5.5" customHeight="1" x14ac:dyDescent="0.35">
      <c r="A786" s="5"/>
      <c r="B786" s="20"/>
      <c r="C786" s="6"/>
      <c r="D786" s="6" t="s">
        <v>790</v>
      </c>
      <c r="E786" s="11">
        <v>1</v>
      </c>
      <c r="F786" s="19">
        <f t="shared" si="3"/>
        <v>1.0501885088373362E-5</v>
      </c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5.5" customHeight="1" x14ac:dyDescent="0.35">
      <c r="A787" s="5"/>
      <c r="B787" s="20"/>
      <c r="C787" s="6"/>
      <c r="D787" s="6" t="s">
        <v>791</v>
      </c>
      <c r="E787" s="11">
        <v>1</v>
      </c>
      <c r="F787" s="19">
        <f t="shared" si="3"/>
        <v>1.0501885088373362E-5</v>
      </c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5.5" customHeight="1" x14ac:dyDescent="0.35">
      <c r="A788" s="5"/>
      <c r="B788" s="20"/>
      <c r="C788" s="6"/>
      <c r="D788" s="6" t="s">
        <v>792</v>
      </c>
      <c r="E788" s="11">
        <v>1</v>
      </c>
      <c r="F788" s="19">
        <f t="shared" si="3"/>
        <v>1.0501885088373362E-5</v>
      </c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5.5" customHeight="1" x14ac:dyDescent="0.35">
      <c r="A789" s="5"/>
      <c r="B789" s="20"/>
      <c r="C789" s="6"/>
      <c r="D789" s="6" t="s">
        <v>793</v>
      </c>
      <c r="E789" s="11">
        <v>1</v>
      </c>
      <c r="F789" s="19">
        <f t="shared" si="3"/>
        <v>1.0501885088373362E-5</v>
      </c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5.5" customHeight="1" x14ac:dyDescent="0.35">
      <c r="A790" s="5"/>
      <c r="B790" s="20"/>
      <c r="C790" s="6"/>
      <c r="D790" s="6" t="s">
        <v>794</v>
      </c>
      <c r="E790" s="11">
        <v>1</v>
      </c>
      <c r="F790" s="19">
        <f t="shared" si="3"/>
        <v>1.0501885088373362E-5</v>
      </c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5.5" customHeight="1" x14ac:dyDescent="0.35">
      <c r="A791" s="5"/>
      <c r="B791" s="20"/>
      <c r="C791" s="6"/>
      <c r="D791" s="6" t="s">
        <v>795</v>
      </c>
      <c r="E791" s="11">
        <v>1</v>
      </c>
      <c r="F791" s="19">
        <f t="shared" si="3"/>
        <v>1.0501885088373362E-5</v>
      </c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5.5" customHeight="1" x14ac:dyDescent="0.35">
      <c r="A792" s="5"/>
      <c r="B792" s="20"/>
      <c r="C792" s="6"/>
      <c r="D792" s="6" t="s">
        <v>796</v>
      </c>
      <c r="E792" s="11">
        <v>1</v>
      </c>
      <c r="F792" s="19">
        <f t="shared" si="3"/>
        <v>1.0501885088373362E-5</v>
      </c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5.5" customHeight="1" x14ac:dyDescent="0.35">
      <c r="A793" s="5"/>
      <c r="B793" s="20"/>
      <c r="C793" s="6"/>
      <c r="D793" s="6" t="s">
        <v>797</v>
      </c>
      <c r="E793" s="11">
        <v>1</v>
      </c>
      <c r="F793" s="19">
        <f t="shared" si="3"/>
        <v>1.0501885088373362E-5</v>
      </c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5.5" customHeight="1" x14ac:dyDescent="0.35">
      <c r="A794" s="5"/>
      <c r="B794" s="20"/>
      <c r="C794" s="6"/>
      <c r="D794" s="6" t="s">
        <v>798</v>
      </c>
      <c r="E794" s="11">
        <v>1</v>
      </c>
      <c r="F794" s="19">
        <f t="shared" si="3"/>
        <v>1.0501885088373362E-5</v>
      </c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5.5" customHeight="1" x14ac:dyDescent="0.35">
      <c r="A795" s="5"/>
      <c r="B795" s="20"/>
      <c r="C795" s="6"/>
      <c r="D795" s="6" t="s">
        <v>799</v>
      </c>
      <c r="E795" s="11">
        <v>1</v>
      </c>
      <c r="F795" s="19">
        <f t="shared" si="3"/>
        <v>1.0501885088373362E-5</v>
      </c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5.5" customHeight="1" x14ac:dyDescent="0.35">
      <c r="A796" s="5"/>
      <c r="B796" s="20"/>
      <c r="C796" s="6"/>
      <c r="D796" s="6" t="s">
        <v>800</v>
      </c>
      <c r="E796" s="11">
        <v>1</v>
      </c>
      <c r="F796" s="19">
        <f t="shared" si="3"/>
        <v>1.0501885088373362E-5</v>
      </c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5.5" customHeight="1" x14ac:dyDescent="0.35">
      <c r="A797" s="5"/>
      <c r="B797" s="20"/>
      <c r="C797" s="6"/>
      <c r="D797" s="6" t="s">
        <v>801</v>
      </c>
      <c r="E797" s="11">
        <v>1</v>
      </c>
      <c r="F797" s="19">
        <f t="shared" si="3"/>
        <v>1.0501885088373362E-5</v>
      </c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5.5" customHeight="1" x14ac:dyDescent="0.35">
      <c r="A798" s="5"/>
      <c r="B798" s="20"/>
      <c r="C798" s="6"/>
      <c r="D798" s="6" t="s">
        <v>802</v>
      </c>
      <c r="E798" s="11">
        <v>1</v>
      </c>
      <c r="F798" s="19">
        <f t="shared" si="3"/>
        <v>1.0501885088373362E-5</v>
      </c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5.5" customHeight="1" x14ac:dyDescent="0.35">
      <c r="A799" s="5"/>
      <c r="B799" s="20"/>
      <c r="C799" s="6"/>
      <c r="D799" s="6" t="s">
        <v>803</v>
      </c>
      <c r="E799" s="11">
        <v>1</v>
      </c>
      <c r="F799" s="19">
        <f t="shared" si="3"/>
        <v>1.0501885088373362E-5</v>
      </c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5.5" customHeight="1" x14ac:dyDescent="0.35">
      <c r="A800" s="5"/>
      <c r="B800" s="20"/>
      <c r="C800" s="6"/>
      <c r="D800" s="6" t="s">
        <v>804</v>
      </c>
      <c r="E800" s="11">
        <v>1</v>
      </c>
      <c r="F800" s="19">
        <f t="shared" si="3"/>
        <v>1.0501885088373362E-5</v>
      </c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5.5" customHeight="1" x14ac:dyDescent="0.35">
      <c r="A801" s="5"/>
      <c r="B801" s="20"/>
      <c r="C801" s="6"/>
      <c r="D801" s="6" t="s">
        <v>805</v>
      </c>
      <c r="E801" s="11">
        <v>1</v>
      </c>
      <c r="F801" s="19">
        <f t="shared" si="3"/>
        <v>1.0501885088373362E-5</v>
      </c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5.5" customHeight="1" x14ac:dyDescent="0.35">
      <c r="A802" s="5"/>
      <c r="B802" s="20"/>
      <c r="C802" s="6"/>
      <c r="D802" s="6" t="s">
        <v>806</v>
      </c>
      <c r="E802" s="11">
        <v>1</v>
      </c>
      <c r="F802" s="19">
        <f t="shared" si="3"/>
        <v>1.0501885088373362E-5</v>
      </c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5.5" customHeight="1" x14ac:dyDescent="0.35">
      <c r="A803" s="5"/>
      <c r="B803" s="20"/>
      <c r="C803" s="6"/>
      <c r="D803" s="6" t="s">
        <v>807</v>
      </c>
      <c r="E803" s="11">
        <v>1</v>
      </c>
      <c r="F803" s="19">
        <f t="shared" si="3"/>
        <v>1.0501885088373362E-5</v>
      </c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5.5" customHeight="1" x14ac:dyDescent="0.35">
      <c r="A804" s="5"/>
      <c r="B804" s="20"/>
      <c r="C804" s="6"/>
      <c r="D804" s="6" t="s">
        <v>808</v>
      </c>
      <c r="E804" s="11">
        <v>1</v>
      </c>
      <c r="F804" s="19">
        <f t="shared" si="3"/>
        <v>1.0501885088373362E-5</v>
      </c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5.5" customHeight="1" x14ac:dyDescent="0.35">
      <c r="A805" s="5"/>
      <c r="B805" s="20"/>
      <c r="C805" s="6"/>
      <c r="D805" s="6" t="s">
        <v>809</v>
      </c>
      <c r="E805" s="11">
        <v>1</v>
      </c>
      <c r="F805" s="19">
        <f t="shared" si="3"/>
        <v>1.0501885088373362E-5</v>
      </c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5.5" customHeight="1" x14ac:dyDescent="0.35">
      <c r="A806" s="5"/>
      <c r="B806" s="20"/>
      <c r="C806" s="6"/>
      <c r="D806" s="6" t="s">
        <v>810</v>
      </c>
      <c r="E806" s="11">
        <v>1</v>
      </c>
      <c r="F806" s="19">
        <f t="shared" si="3"/>
        <v>1.0501885088373362E-5</v>
      </c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5.5" customHeight="1" x14ac:dyDescent="0.35">
      <c r="A807" s="5"/>
      <c r="B807" s="20"/>
      <c r="C807" s="6"/>
      <c r="D807" s="6" t="s">
        <v>811</v>
      </c>
      <c r="E807" s="11">
        <v>1</v>
      </c>
      <c r="F807" s="19">
        <f t="shared" si="3"/>
        <v>1.0501885088373362E-5</v>
      </c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5.5" customHeight="1" x14ac:dyDescent="0.35">
      <c r="A808" s="5"/>
      <c r="B808" s="20"/>
      <c r="C808" s="6"/>
      <c r="D808" s="6" t="s">
        <v>812</v>
      </c>
      <c r="E808" s="11">
        <v>1</v>
      </c>
      <c r="F808" s="19">
        <f t="shared" si="3"/>
        <v>1.0501885088373362E-5</v>
      </c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5.5" customHeight="1" x14ac:dyDescent="0.35">
      <c r="A809" s="5"/>
      <c r="B809" s="20"/>
      <c r="C809" s="6"/>
      <c r="D809" s="6" t="s">
        <v>813</v>
      </c>
      <c r="E809" s="11">
        <v>1</v>
      </c>
      <c r="F809" s="19">
        <f t="shared" si="3"/>
        <v>1.0501885088373362E-5</v>
      </c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5.5" customHeight="1" x14ac:dyDescent="0.35">
      <c r="A810" s="5"/>
      <c r="B810" s="20"/>
      <c r="C810" s="6"/>
      <c r="D810" s="6" t="s">
        <v>814</v>
      </c>
      <c r="E810" s="11">
        <v>1</v>
      </c>
      <c r="F810" s="19">
        <f t="shared" si="3"/>
        <v>1.0501885088373362E-5</v>
      </c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5.5" customHeight="1" x14ac:dyDescent="0.35">
      <c r="A811" s="5"/>
      <c r="B811" s="20"/>
      <c r="C811" s="6"/>
      <c r="D811" s="6" t="s">
        <v>815</v>
      </c>
      <c r="E811" s="11">
        <v>1</v>
      </c>
      <c r="F811" s="19">
        <f t="shared" si="3"/>
        <v>1.0501885088373362E-5</v>
      </c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5.5" customHeight="1" x14ac:dyDescent="0.35">
      <c r="A812" s="5"/>
      <c r="B812" s="20"/>
      <c r="C812" s="6"/>
      <c r="D812" s="6" t="s">
        <v>816</v>
      </c>
      <c r="E812" s="11">
        <v>1</v>
      </c>
      <c r="F812" s="19">
        <f t="shared" si="3"/>
        <v>1.0501885088373362E-5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5.5" customHeight="1" x14ac:dyDescent="0.35">
      <c r="A813" s="5"/>
      <c r="B813" s="20"/>
      <c r="C813" s="6"/>
      <c r="D813" s="6" t="s">
        <v>817</v>
      </c>
      <c r="E813" s="11">
        <v>1</v>
      </c>
      <c r="F813" s="19">
        <f t="shared" si="3"/>
        <v>1.0501885088373362E-5</v>
      </c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5.5" customHeight="1" x14ac:dyDescent="0.35">
      <c r="A814" s="5"/>
      <c r="B814" s="20"/>
      <c r="C814" s="6"/>
      <c r="D814" s="6" t="s">
        <v>818</v>
      </c>
      <c r="E814" s="11">
        <v>1</v>
      </c>
      <c r="F814" s="19">
        <f t="shared" si="3"/>
        <v>1.0501885088373362E-5</v>
      </c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5.5" customHeight="1" x14ac:dyDescent="0.35">
      <c r="A815" s="5"/>
      <c r="B815" s="20"/>
      <c r="C815" s="6"/>
      <c r="D815" s="6" t="s">
        <v>819</v>
      </c>
      <c r="E815" s="11">
        <v>1</v>
      </c>
      <c r="F815" s="19">
        <f t="shared" si="3"/>
        <v>1.0501885088373362E-5</v>
      </c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5.5" customHeight="1" x14ac:dyDescent="0.35">
      <c r="A816" s="5"/>
      <c r="B816" s="20"/>
      <c r="C816" s="6"/>
      <c r="D816" s="6" t="s">
        <v>820</v>
      </c>
      <c r="E816" s="11">
        <v>1</v>
      </c>
      <c r="F816" s="19">
        <f t="shared" si="3"/>
        <v>1.0501885088373362E-5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5.5" customHeight="1" x14ac:dyDescent="0.35">
      <c r="A817" s="5"/>
      <c r="B817" s="20"/>
      <c r="C817" s="6"/>
      <c r="D817" s="6" t="s">
        <v>821</v>
      </c>
      <c r="E817" s="11">
        <v>1</v>
      </c>
      <c r="F817" s="19">
        <f t="shared" si="3"/>
        <v>1.0501885088373362E-5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5.5" customHeight="1" x14ac:dyDescent="0.35">
      <c r="A818" s="5"/>
      <c r="B818" s="20"/>
      <c r="C818" s="6"/>
      <c r="D818" s="6" t="s">
        <v>822</v>
      </c>
      <c r="E818" s="11">
        <v>1</v>
      </c>
      <c r="F818" s="19">
        <f t="shared" si="3"/>
        <v>1.0501885088373362E-5</v>
      </c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5.5" customHeight="1" x14ac:dyDescent="0.35">
      <c r="A819" s="5"/>
      <c r="B819" s="20"/>
      <c r="C819" s="6"/>
      <c r="D819" s="6" t="s">
        <v>823</v>
      </c>
      <c r="E819" s="11">
        <v>1</v>
      </c>
      <c r="F819" s="19">
        <f t="shared" si="3"/>
        <v>1.0501885088373362E-5</v>
      </c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5.5" customHeight="1" x14ac:dyDescent="0.35">
      <c r="A820" s="5"/>
      <c r="B820" s="20"/>
      <c r="C820" s="6"/>
      <c r="D820" s="6" t="s">
        <v>824</v>
      </c>
      <c r="E820" s="11">
        <v>1</v>
      </c>
      <c r="F820" s="19">
        <f t="shared" si="3"/>
        <v>1.0501885088373362E-5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5.5" customHeight="1" x14ac:dyDescent="0.35">
      <c r="A821" s="5"/>
      <c r="B821" s="20"/>
      <c r="C821" s="6"/>
      <c r="D821" s="6" t="s">
        <v>825</v>
      </c>
      <c r="E821" s="11">
        <v>1</v>
      </c>
      <c r="F821" s="19">
        <f t="shared" si="3"/>
        <v>1.0501885088373362E-5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5.5" customHeight="1" x14ac:dyDescent="0.35">
      <c r="A822" s="5"/>
      <c r="B822" s="20"/>
      <c r="C822" s="6"/>
      <c r="D822" s="6" t="s">
        <v>826</v>
      </c>
      <c r="E822" s="11">
        <v>1</v>
      </c>
      <c r="F822" s="19">
        <f t="shared" si="3"/>
        <v>1.0501885088373362E-5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5.5" customHeight="1" x14ac:dyDescent="0.35">
      <c r="A823" s="5"/>
      <c r="B823" s="20"/>
      <c r="C823" s="6"/>
      <c r="D823" s="6" t="s">
        <v>827</v>
      </c>
      <c r="E823" s="11">
        <v>1</v>
      </c>
      <c r="F823" s="19">
        <f t="shared" si="3"/>
        <v>1.0501885088373362E-5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5.5" customHeight="1" x14ac:dyDescent="0.35">
      <c r="A824" s="5"/>
      <c r="B824" s="20"/>
      <c r="C824" s="6"/>
      <c r="D824" s="6" t="s">
        <v>828</v>
      </c>
      <c r="E824" s="11">
        <v>1</v>
      </c>
      <c r="F824" s="19">
        <f t="shared" si="3"/>
        <v>1.0501885088373362E-5</v>
      </c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5.5" customHeight="1" x14ac:dyDescent="0.35">
      <c r="A825" s="5"/>
      <c r="B825" s="20"/>
      <c r="C825" s="6"/>
      <c r="D825" s="6" t="s">
        <v>829</v>
      </c>
      <c r="E825" s="11">
        <v>1</v>
      </c>
      <c r="F825" s="19">
        <f t="shared" si="3"/>
        <v>1.0501885088373362E-5</v>
      </c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5.5" customHeight="1" x14ac:dyDescent="0.35">
      <c r="A826" s="5"/>
      <c r="B826" s="20"/>
      <c r="C826" s="6"/>
      <c r="D826" s="6" t="s">
        <v>830</v>
      </c>
      <c r="E826" s="11">
        <v>1</v>
      </c>
      <c r="F826" s="19">
        <f t="shared" si="3"/>
        <v>1.0501885088373362E-5</v>
      </c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5.5" customHeight="1" x14ac:dyDescent="0.35">
      <c r="A827" s="5"/>
      <c r="B827" s="20"/>
      <c r="C827" s="6"/>
      <c r="D827" s="6" t="s">
        <v>831</v>
      </c>
      <c r="E827" s="11">
        <v>1</v>
      </c>
      <c r="F827" s="19">
        <f t="shared" si="3"/>
        <v>1.0501885088373362E-5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5.5" customHeight="1" x14ac:dyDescent="0.35">
      <c r="A828" s="5"/>
      <c r="B828" s="20"/>
      <c r="C828" s="6"/>
      <c r="D828" s="6" t="s">
        <v>832</v>
      </c>
      <c r="E828" s="11">
        <v>1</v>
      </c>
      <c r="F828" s="19">
        <f t="shared" si="3"/>
        <v>1.0501885088373362E-5</v>
      </c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5.5" customHeight="1" x14ac:dyDescent="0.35">
      <c r="A829" s="5"/>
      <c r="B829" s="20"/>
      <c r="C829" s="6"/>
      <c r="D829" s="6" t="s">
        <v>833</v>
      </c>
      <c r="E829" s="11">
        <v>1</v>
      </c>
      <c r="F829" s="19">
        <f t="shared" si="3"/>
        <v>1.0501885088373362E-5</v>
      </c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5.5" customHeight="1" x14ac:dyDescent="0.35">
      <c r="A830" s="5"/>
      <c r="B830" s="20"/>
      <c r="C830" s="6"/>
      <c r="D830" s="6" t="s">
        <v>834</v>
      </c>
      <c r="E830" s="11">
        <v>1</v>
      </c>
      <c r="F830" s="19">
        <f t="shared" si="3"/>
        <v>1.0501885088373362E-5</v>
      </c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5.5" customHeight="1" x14ac:dyDescent="0.35">
      <c r="A831" s="5"/>
      <c r="B831" s="20"/>
      <c r="C831" s="6"/>
      <c r="D831" s="6" t="s">
        <v>835</v>
      </c>
      <c r="E831" s="11">
        <v>1</v>
      </c>
      <c r="F831" s="19">
        <f t="shared" si="3"/>
        <v>1.0501885088373362E-5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5.5" customHeight="1" x14ac:dyDescent="0.35">
      <c r="A832" s="5"/>
      <c r="B832" s="20"/>
      <c r="C832" s="6"/>
      <c r="D832" s="6" t="s">
        <v>836</v>
      </c>
      <c r="E832" s="11">
        <v>1</v>
      </c>
      <c r="F832" s="19">
        <f t="shared" si="3"/>
        <v>1.0501885088373362E-5</v>
      </c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5.5" customHeight="1" x14ac:dyDescent="0.35">
      <c r="A833" s="5"/>
      <c r="B833" s="20"/>
      <c r="C833" s="6"/>
      <c r="D833" s="6" t="s">
        <v>837</v>
      </c>
      <c r="E833" s="11">
        <v>1</v>
      </c>
      <c r="F833" s="19">
        <f t="shared" si="3"/>
        <v>1.0501885088373362E-5</v>
      </c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5.5" customHeight="1" x14ac:dyDescent="0.35">
      <c r="A834" s="5"/>
      <c r="B834" s="20"/>
      <c r="C834" s="6"/>
      <c r="D834" s="6" t="s">
        <v>838</v>
      </c>
      <c r="E834" s="11">
        <v>1</v>
      </c>
      <c r="F834" s="19">
        <f t="shared" si="3"/>
        <v>1.0501885088373362E-5</v>
      </c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5.5" customHeight="1" x14ac:dyDescent="0.35">
      <c r="A835" s="5"/>
      <c r="B835" s="20"/>
      <c r="C835" s="6"/>
      <c r="D835" s="6" t="s">
        <v>839</v>
      </c>
      <c r="E835" s="11">
        <v>1</v>
      </c>
      <c r="F835" s="19">
        <f t="shared" si="3"/>
        <v>1.0501885088373362E-5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5.5" customHeight="1" x14ac:dyDescent="0.35">
      <c r="A836" s="5"/>
      <c r="B836" s="20"/>
      <c r="C836" s="6"/>
      <c r="D836" s="6" t="s">
        <v>840</v>
      </c>
      <c r="E836" s="11">
        <v>1</v>
      </c>
      <c r="F836" s="19">
        <f t="shared" si="3"/>
        <v>1.0501885088373362E-5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5.5" customHeight="1" x14ac:dyDescent="0.35">
      <c r="A837" s="5"/>
      <c r="B837" s="20"/>
      <c r="C837" s="6"/>
      <c r="D837" s="6" t="s">
        <v>841</v>
      </c>
      <c r="E837" s="11">
        <v>1</v>
      </c>
      <c r="F837" s="19">
        <f t="shared" si="3"/>
        <v>1.0501885088373362E-5</v>
      </c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5.5" customHeight="1" x14ac:dyDescent="0.35">
      <c r="A838" s="5"/>
      <c r="B838" s="20"/>
      <c r="C838" s="6"/>
      <c r="D838" s="6" t="s">
        <v>842</v>
      </c>
      <c r="E838" s="11">
        <v>1</v>
      </c>
      <c r="F838" s="19">
        <f t="shared" si="3"/>
        <v>1.0501885088373362E-5</v>
      </c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5.5" customHeight="1" x14ac:dyDescent="0.35">
      <c r="A839" s="5"/>
      <c r="B839" s="20"/>
      <c r="C839" s="6"/>
      <c r="D839" s="6" t="s">
        <v>843</v>
      </c>
      <c r="E839" s="11">
        <v>1</v>
      </c>
      <c r="F839" s="19">
        <f t="shared" si="3"/>
        <v>1.0501885088373362E-5</v>
      </c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5.5" customHeight="1" x14ac:dyDescent="0.35">
      <c r="A840" s="5"/>
      <c r="B840" s="20"/>
      <c r="C840" s="6"/>
      <c r="D840" s="6" t="s">
        <v>844</v>
      </c>
      <c r="E840" s="11">
        <v>1</v>
      </c>
      <c r="F840" s="19">
        <f t="shared" si="3"/>
        <v>1.0501885088373362E-5</v>
      </c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5.5" customHeight="1" x14ac:dyDescent="0.35">
      <c r="A841" s="5"/>
      <c r="B841" s="20"/>
      <c r="C841" s="6"/>
      <c r="D841" s="6" t="s">
        <v>845</v>
      </c>
      <c r="E841" s="11">
        <v>1</v>
      </c>
      <c r="F841" s="19">
        <f t="shared" si="3"/>
        <v>1.0501885088373362E-5</v>
      </c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5.5" customHeight="1" x14ac:dyDescent="0.35">
      <c r="A842" s="5"/>
      <c r="B842" s="20"/>
      <c r="C842" s="6"/>
      <c r="D842" s="6" t="s">
        <v>846</v>
      </c>
      <c r="E842" s="11">
        <v>1</v>
      </c>
      <c r="F842" s="19">
        <f t="shared" si="3"/>
        <v>1.0501885088373362E-5</v>
      </c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5.5" customHeight="1" x14ac:dyDescent="0.35">
      <c r="A843" s="5"/>
      <c r="B843" s="20"/>
      <c r="C843" s="6"/>
      <c r="D843" s="6" t="s">
        <v>847</v>
      </c>
      <c r="E843" s="11">
        <v>1</v>
      </c>
      <c r="F843" s="19">
        <f t="shared" si="3"/>
        <v>1.0501885088373362E-5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5.5" customHeight="1" x14ac:dyDescent="0.35">
      <c r="A844" s="5"/>
      <c r="B844" s="20"/>
      <c r="C844" s="6"/>
      <c r="D844" s="6" t="s">
        <v>848</v>
      </c>
      <c r="E844" s="11">
        <v>1</v>
      </c>
      <c r="F844" s="19">
        <f t="shared" si="3"/>
        <v>1.0501885088373362E-5</v>
      </c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5.5" customHeight="1" x14ac:dyDescent="0.35">
      <c r="A845" s="5"/>
      <c r="B845" s="20"/>
      <c r="C845" s="6"/>
      <c r="D845" s="6" t="s">
        <v>849</v>
      </c>
      <c r="E845" s="11">
        <v>1</v>
      </c>
      <c r="F845" s="19">
        <f t="shared" si="3"/>
        <v>1.0501885088373362E-5</v>
      </c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5.5" customHeight="1" x14ac:dyDescent="0.35">
      <c r="A846" s="5"/>
      <c r="B846" s="20"/>
      <c r="C846" s="6"/>
      <c r="D846" s="6" t="s">
        <v>850</v>
      </c>
      <c r="E846" s="11">
        <v>1</v>
      </c>
      <c r="F846" s="19">
        <f t="shared" si="3"/>
        <v>1.0501885088373362E-5</v>
      </c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5.5" customHeight="1" x14ac:dyDescent="0.35">
      <c r="A847" s="5"/>
      <c r="B847" s="20"/>
      <c r="C847" s="6"/>
      <c r="D847" s="6" t="s">
        <v>851</v>
      </c>
      <c r="E847" s="11">
        <v>1</v>
      </c>
      <c r="F847" s="19">
        <f t="shared" si="3"/>
        <v>1.0501885088373362E-5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5.5" customHeight="1" x14ac:dyDescent="0.35">
      <c r="A848" s="5"/>
      <c r="B848" s="20"/>
      <c r="C848" s="6"/>
      <c r="D848" s="6" t="s">
        <v>852</v>
      </c>
      <c r="E848" s="11">
        <v>1</v>
      </c>
      <c r="F848" s="19">
        <f t="shared" si="3"/>
        <v>1.0501885088373362E-5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5.5" customHeight="1" x14ac:dyDescent="0.35">
      <c r="A849" s="5"/>
      <c r="B849" s="20"/>
      <c r="C849" s="6"/>
      <c r="D849" s="6" t="s">
        <v>853</v>
      </c>
      <c r="E849" s="11">
        <v>1</v>
      </c>
      <c r="F849" s="19">
        <f t="shared" si="3"/>
        <v>1.0501885088373362E-5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5.5" customHeight="1" x14ac:dyDescent="0.35">
      <c r="A850" s="5"/>
      <c r="B850" s="20"/>
      <c r="C850" s="6"/>
      <c r="D850" s="6" t="s">
        <v>854</v>
      </c>
      <c r="E850" s="11">
        <v>1</v>
      </c>
      <c r="F850" s="19">
        <f t="shared" si="3"/>
        <v>1.0501885088373362E-5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5.5" customHeight="1" x14ac:dyDescent="0.35">
      <c r="A851" s="5"/>
      <c r="B851" s="20"/>
      <c r="C851" s="6"/>
      <c r="D851" s="6" t="s">
        <v>855</v>
      </c>
      <c r="E851" s="11">
        <v>1</v>
      </c>
      <c r="F851" s="19">
        <f t="shared" si="3"/>
        <v>1.0501885088373362E-5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5.5" customHeight="1" x14ac:dyDescent="0.35">
      <c r="A852" s="5"/>
      <c r="B852" s="20"/>
      <c r="C852" s="6"/>
      <c r="D852" s="6" t="s">
        <v>856</v>
      </c>
      <c r="E852" s="11">
        <v>1</v>
      </c>
      <c r="F852" s="19">
        <f t="shared" si="3"/>
        <v>1.0501885088373362E-5</v>
      </c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5.5" customHeight="1" x14ac:dyDescent="0.35">
      <c r="A853" s="5"/>
      <c r="B853" s="20"/>
      <c r="C853" s="6"/>
      <c r="D853" s="6" t="s">
        <v>857</v>
      </c>
      <c r="E853" s="11">
        <v>1</v>
      </c>
      <c r="F853" s="19">
        <f t="shared" si="3"/>
        <v>1.0501885088373362E-5</v>
      </c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5.5" customHeight="1" x14ac:dyDescent="0.35">
      <c r="A854" s="5"/>
      <c r="B854" s="20"/>
      <c r="C854" s="6"/>
      <c r="D854" s="6" t="s">
        <v>858</v>
      </c>
      <c r="E854" s="11">
        <v>1</v>
      </c>
      <c r="F854" s="19">
        <f t="shared" si="3"/>
        <v>1.0501885088373362E-5</v>
      </c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5.5" customHeight="1" x14ac:dyDescent="0.35">
      <c r="A855" s="5"/>
      <c r="B855" s="20"/>
      <c r="C855" s="6"/>
      <c r="D855" s="6" t="s">
        <v>859</v>
      </c>
      <c r="E855" s="11">
        <v>1</v>
      </c>
      <c r="F855" s="19">
        <f t="shared" si="3"/>
        <v>1.0501885088373362E-5</v>
      </c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5.5" customHeight="1" x14ac:dyDescent="0.35">
      <c r="A856" s="5"/>
      <c r="B856" s="20"/>
      <c r="C856" s="6"/>
      <c r="D856" s="6" t="s">
        <v>860</v>
      </c>
      <c r="E856" s="11">
        <v>1</v>
      </c>
      <c r="F856" s="19">
        <f t="shared" si="3"/>
        <v>1.0501885088373362E-5</v>
      </c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5.5" customHeight="1" x14ac:dyDescent="0.35">
      <c r="A857" s="5"/>
      <c r="B857" s="20"/>
      <c r="C857" s="6"/>
      <c r="D857" s="6" t="s">
        <v>861</v>
      </c>
      <c r="E857" s="11">
        <v>1</v>
      </c>
      <c r="F857" s="19">
        <f t="shared" si="3"/>
        <v>1.0501885088373362E-5</v>
      </c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35">
      <c r="A858" s="5"/>
      <c r="B858" s="20"/>
      <c r="C858" s="6"/>
      <c r="D858" s="6" t="s">
        <v>862</v>
      </c>
      <c r="E858" s="11">
        <v>1</v>
      </c>
      <c r="F858" s="19">
        <f t="shared" si="3"/>
        <v>1.0501885088373362E-5</v>
      </c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5.5" customHeight="1" x14ac:dyDescent="0.35">
      <c r="A859" s="5"/>
      <c r="B859" s="20"/>
      <c r="C859" s="6"/>
      <c r="D859" s="6" t="s">
        <v>863</v>
      </c>
      <c r="E859" s="11">
        <v>1</v>
      </c>
      <c r="F859" s="19">
        <f t="shared" si="3"/>
        <v>1.0501885088373362E-5</v>
      </c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5.5" customHeight="1" x14ac:dyDescent="0.35">
      <c r="A860" s="5"/>
      <c r="B860" s="20"/>
      <c r="C860" s="6"/>
      <c r="D860" s="6" t="s">
        <v>864</v>
      </c>
      <c r="E860" s="11">
        <v>1</v>
      </c>
      <c r="F860" s="19">
        <f t="shared" si="3"/>
        <v>1.0501885088373362E-5</v>
      </c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5.5" customHeight="1" x14ac:dyDescent="0.35">
      <c r="A861" s="5"/>
      <c r="B861" s="20"/>
      <c r="C861" s="6"/>
      <c r="D861" s="6" t="s">
        <v>865</v>
      </c>
      <c r="E861" s="11">
        <v>1</v>
      </c>
      <c r="F861" s="19">
        <f t="shared" si="3"/>
        <v>1.0501885088373362E-5</v>
      </c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5.5" customHeight="1" x14ac:dyDescent="0.35">
      <c r="A862" s="5"/>
      <c r="B862" s="20"/>
      <c r="C862" s="6"/>
      <c r="D862" s="6" t="s">
        <v>866</v>
      </c>
      <c r="E862" s="11">
        <v>1</v>
      </c>
      <c r="F862" s="19">
        <f t="shared" si="3"/>
        <v>1.0501885088373362E-5</v>
      </c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5.5" customHeight="1" x14ac:dyDescent="0.35">
      <c r="A863" s="5"/>
      <c r="B863" s="20"/>
      <c r="C863" s="6"/>
      <c r="D863" s="6" t="s">
        <v>867</v>
      </c>
      <c r="E863" s="11">
        <v>1</v>
      </c>
      <c r="F863" s="19">
        <f t="shared" si="3"/>
        <v>1.0501885088373362E-5</v>
      </c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5.5" customHeight="1" x14ac:dyDescent="0.35">
      <c r="A864" s="5"/>
      <c r="B864" s="20"/>
      <c r="C864" s="6"/>
      <c r="D864" s="6" t="s">
        <v>868</v>
      </c>
      <c r="E864" s="11">
        <v>1</v>
      </c>
      <c r="F864" s="19">
        <f t="shared" si="3"/>
        <v>1.0501885088373362E-5</v>
      </c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5.5" customHeight="1" x14ac:dyDescent="0.35">
      <c r="A865" s="5"/>
      <c r="B865" s="20"/>
      <c r="C865" s="6"/>
      <c r="D865" s="6" t="s">
        <v>869</v>
      </c>
      <c r="E865" s="11">
        <v>1</v>
      </c>
      <c r="F865" s="19">
        <f t="shared" si="3"/>
        <v>1.0501885088373362E-5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5.5" customHeight="1" x14ac:dyDescent="0.35">
      <c r="A866" s="5"/>
      <c r="B866" s="20"/>
      <c r="C866" s="6"/>
      <c r="D866" s="6" t="s">
        <v>870</v>
      </c>
      <c r="E866" s="11">
        <v>1</v>
      </c>
      <c r="F866" s="19">
        <f t="shared" si="3"/>
        <v>1.0501885088373362E-5</v>
      </c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5.5" customHeight="1" x14ac:dyDescent="0.35">
      <c r="A867" s="5"/>
      <c r="B867" s="20"/>
      <c r="C867" s="6"/>
      <c r="D867" s="6" t="s">
        <v>871</v>
      </c>
      <c r="E867" s="11">
        <v>1</v>
      </c>
      <c r="F867" s="19">
        <f t="shared" si="3"/>
        <v>1.0501885088373362E-5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5.5" customHeight="1" x14ac:dyDescent="0.35">
      <c r="A868" s="5"/>
      <c r="B868" s="20"/>
      <c r="C868" s="6"/>
      <c r="D868" s="6" t="s">
        <v>872</v>
      </c>
      <c r="E868" s="11">
        <v>1</v>
      </c>
      <c r="F868" s="19">
        <f t="shared" si="3"/>
        <v>1.0501885088373362E-5</v>
      </c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5.5" customHeight="1" x14ac:dyDescent="0.35">
      <c r="A869" s="5"/>
      <c r="B869" s="20"/>
      <c r="C869" s="6"/>
      <c r="D869" s="6" t="s">
        <v>873</v>
      </c>
      <c r="E869" s="11">
        <v>1</v>
      </c>
      <c r="F869" s="19">
        <f t="shared" si="3"/>
        <v>1.0501885088373362E-5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5.5" customHeight="1" x14ac:dyDescent="0.35">
      <c r="A870" s="5"/>
      <c r="B870" s="20"/>
      <c r="C870" s="6"/>
      <c r="D870" s="6" t="s">
        <v>874</v>
      </c>
      <c r="E870" s="11">
        <v>1</v>
      </c>
      <c r="F870" s="19">
        <f t="shared" si="3"/>
        <v>1.0501885088373362E-5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5.5" customHeight="1" x14ac:dyDescent="0.35">
      <c r="A871" s="5"/>
      <c r="B871" s="20"/>
      <c r="C871" s="6"/>
      <c r="D871" s="6" t="s">
        <v>875</v>
      </c>
      <c r="E871" s="11">
        <v>1</v>
      </c>
      <c r="F871" s="19">
        <f t="shared" si="3"/>
        <v>1.0501885088373362E-5</v>
      </c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5.5" customHeight="1" x14ac:dyDescent="0.35">
      <c r="A872" s="5"/>
      <c r="B872" s="20"/>
      <c r="C872" s="6"/>
      <c r="D872" s="6" t="s">
        <v>876</v>
      </c>
      <c r="E872" s="11">
        <v>1</v>
      </c>
      <c r="F872" s="19">
        <f t="shared" si="3"/>
        <v>1.0501885088373362E-5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5.5" customHeight="1" x14ac:dyDescent="0.35">
      <c r="A873" s="5"/>
      <c r="B873" s="20"/>
      <c r="C873" s="6"/>
      <c r="D873" s="6" t="s">
        <v>877</v>
      </c>
      <c r="E873" s="11">
        <v>1</v>
      </c>
      <c r="F873" s="19">
        <f t="shared" si="3"/>
        <v>1.0501885088373362E-5</v>
      </c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5.5" customHeight="1" x14ac:dyDescent="0.35">
      <c r="A874" s="5"/>
      <c r="B874" s="20"/>
      <c r="C874" s="6"/>
      <c r="D874" s="6" t="s">
        <v>878</v>
      </c>
      <c r="E874" s="11">
        <v>1</v>
      </c>
      <c r="F874" s="19">
        <f t="shared" si="3"/>
        <v>1.0501885088373362E-5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5.5" customHeight="1" x14ac:dyDescent="0.35">
      <c r="A875" s="5"/>
      <c r="B875" s="20"/>
      <c r="C875" s="6"/>
      <c r="D875" s="6" t="s">
        <v>879</v>
      </c>
      <c r="E875" s="11">
        <v>1</v>
      </c>
      <c r="F875" s="19">
        <f t="shared" si="3"/>
        <v>1.0501885088373362E-5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5.5" customHeight="1" x14ac:dyDescent="0.35">
      <c r="A876" s="5"/>
      <c r="B876" s="20"/>
      <c r="C876" s="6"/>
      <c r="D876" s="6" t="s">
        <v>880</v>
      </c>
      <c r="E876" s="11">
        <v>1</v>
      </c>
      <c r="F876" s="19">
        <f t="shared" si="3"/>
        <v>1.0501885088373362E-5</v>
      </c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5.5" customHeight="1" x14ac:dyDescent="0.35">
      <c r="A877" s="5"/>
      <c r="B877" s="20"/>
      <c r="C877" s="6"/>
      <c r="D877" s="6" t="s">
        <v>881</v>
      </c>
      <c r="E877" s="11">
        <v>1</v>
      </c>
      <c r="F877" s="19">
        <f t="shared" si="3"/>
        <v>1.0501885088373362E-5</v>
      </c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5.5" customHeight="1" x14ac:dyDescent="0.35">
      <c r="A878" s="5"/>
      <c r="B878" s="20"/>
      <c r="C878" s="6"/>
      <c r="D878" s="6" t="s">
        <v>882</v>
      </c>
      <c r="E878" s="11">
        <v>1</v>
      </c>
      <c r="F878" s="19">
        <f t="shared" si="3"/>
        <v>1.0501885088373362E-5</v>
      </c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5.5" customHeight="1" x14ac:dyDescent="0.35">
      <c r="A879" s="5"/>
      <c r="B879" s="20"/>
      <c r="C879" s="6"/>
      <c r="D879" s="6" t="s">
        <v>883</v>
      </c>
      <c r="E879" s="11">
        <v>1</v>
      </c>
      <c r="F879" s="19">
        <f t="shared" si="3"/>
        <v>1.0501885088373362E-5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5.5" customHeight="1" x14ac:dyDescent="0.35">
      <c r="A880" s="5"/>
      <c r="B880" s="20"/>
      <c r="C880" s="6"/>
      <c r="D880" s="6" t="s">
        <v>884</v>
      </c>
      <c r="E880" s="11">
        <v>1</v>
      </c>
      <c r="F880" s="19">
        <f t="shared" si="3"/>
        <v>1.0501885088373362E-5</v>
      </c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5.5" customHeight="1" x14ac:dyDescent="0.35">
      <c r="A881" s="5"/>
      <c r="B881" s="20"/>
      <c r="C881" s="6"/>
      <c r="D881" s="6" t="s">
        <v>885</v>
      </c>
      <c r="E881" s="11">
        <v>1</v>
      </c>
      <c r="F881" s="19">
        <f t="shared" si="3"/>
        <v>1.0501885088373362E-5</v>
      </c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5.5" customHeight="1" x14ac:dyDescent="0.35">
      <c r="A882" s="5"/>
      <c r="B882" s="20"/>
      <c r="C882" s="6"/>
      <c r="D882" s="6" t="s">
        <v>886</v>
      </c>
      <c r="E882" s="11">
        <v>1</v>
      </c>
      <c r="F882" s="19">
        <f t="shared" si="3"/>
        <v>1.0501885088373362E-5</v>
      </c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5.5" customHeight="1" x14ac:dyDescent="0.35">
      <c r="A883" s="5"/>
      <c r="B883" s="20"/>
      <c r="C883" s="6"/>
      <c r="D883" s="6" t="s">
        <v>887</v>
      </c>
      <c r="E883" s="11">
        <v>1</v>
      </c>
      <c r="F883" s="19">
        <f t="shared" si="3"/>
        <v>1.0501885088373362E-5</v>
      </c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5.5" customHeight="1" x14ac:dyDescent="0.35">
      <c r="A884" s="5"/>
      <c r="B884" s="20"/>
      <c r="C884" s="6"/>
      <c r="D884" s="6" t="s">
        <v>888</v>
      </c>
      <c r="E884" s="11">
        <v>1</v>
      </c>
      <c r="F884" s="19">
        <f t="shared" si="3"/>
        <v>1.0501885088373362E-5</v>
      </c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5.5" customHeight="1" x14ac:dyDescent="0.35">
      <c r="A885" s="5"/>
      <c r="B885" s="20"/>
      <c r="C885" s="6"/>
      <c r="D885" s="6" t="s">
        <v>889</v>
      </c>
      <c r="E885" s="11">
        <v>1</v>
      </c>
      <c r="F885" s="19">
        <f t="shared" si="3"/>
        <v>1.0501885088373362E-5</v>
      </c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5.5" customHeight="1" x14ac:dyDescent="0.35">
      <c r="A886" s="5"/>
      <c r="B886" s="20"/>
      <c r="C886" s="6"/>
      <c r="D886" s="6" t="s">
        <v>890</v>
      </c>
      <c r="E886" s="11">
        <v>1</v>
      </c>
      <c r="F886" s="19">
        <f t="shared" si="3"/>
        <v>1.0501885088373362E-5</v>
      </c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5.5" customHeight="1" x14ac:dyDescent="0.35">
      <c r="A887" s="5"/>
      <c r="B887" s="20"/>
      <c r="C887" s="6"/>
      <c r="D887" s="6" t="s">
        <v>891</v>
      </c>
      <c r="E887" s="11">
        <v>1</v>
      </c>
      <c r="F887" s="19">
        <f t="shared" si="3"/>
        <v>1.0501885088373362E-5</v>
      </c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5.5" customHeight="1" x14ac:dyDescent="0.35">
      <c r="A888" s="5"/>
      <c r="B888" s="20"/>
      <c r="C888" s="6"/>
      <c r="D888" s="6" t="s">
        <v>892</v>
      </c>
      <c r="E888" s="11">
        <v>1</v>
      </c>
      <c r="F888" s="19">
        <f t="shared" si="3"/>
        <v>1.0501885088373362E-5</v>
      </c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5.5" customHeight="1" x14ac:dyDescent="0.35">
      <c r="A889" s="5"/>
      <c r="B889" s="20"/>
      <c r="C889" s="6"/>
      <c r="D889" s="6" t="s">
        <v>893</v>
      </c>
      <c r="E889" s="11">
        <v>1</v>
      </c>
      <c r="F889" s="19">
        <f t="shared" si="3"/>
        <v>1.0501885088373362E-5</v>
      </c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5.5" customHeight="1" x14ac:dyDescent="0.35">
      <c r="A890" s="5"/>
      <c r="B890" s="20"/>
      <c r="C890" s="6"/>
      <c r="D890" s="6" t="s">
        <v>894</v>
      </c>
      <c r="E890" s="11">
        <v>1</v>
      </c>
      <c r="F890" s="19">
        <f t="shared" si="3"/>
        <v>1.0501885088373362E-5</v>
      </c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5.5" customHeight="1" x14ac:dyDescent="0.35">
      <c r="A891" s="5"/>
      <c r="B891" s="20"/>
      <c r="C891" s="6"/>
      <c r="D891" s="6" t="s">
        <v>895</v>
      </c>
      <c r="E891" s="11">
        <v>1</v>
      </c>
      <c r="F891" s="19">
        <f t="shared" si="3"/>
        <v>1.0501885088373362E-5</v>
      </c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5.5" customHeight="1" x14ac:dyDescent="0.35">
      <c r="A892" s="5"/>
      <c r="B892" s="20"/>
      <c r="C892" s="6"/>
      <c r="D892" s="6" t="s">
        <v>896</v>
      </c>
      <c r="E892" s="11">
        <v>1</v>
      </c>
      <c r="F892" s="19">
        <f t="shared" si="3"/>
        <v>1.0501885088373362E-5</v>
      </c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5.5" customHeight="1" x14ac:dyDescent="0.35">
      <c r="A893" s="5"/>
      <c r="B893" s="20"/>
      <c r="C893" s="6"/>
      <c r="D893" s="6" t="s">
        <v>897</v>
      </c>
      <c r="E893" s="11">
        <v>1</v>
      </c>
      <c r="F893" s="19">
        <f t="shared" si="3"/>
        <v>1.0501885088373362E-5</v>
      </c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5.5" customHeight="1" x14ac:dyDescent="0.35">
      <c r="A894" s="5"/>
      <c r="B894" s="20"/>
      <c r="C894" s="6"/>
      <c r="D894" s="6" t="s">
        <v>898</v>
      </c>
      <c r="E894" s="11">
        <v>1</v>
      </c>
      <c r="F894" s="19">
        <f t="shared" si="3"/>
        <v>1.0501885088373362E-5</v>
      </c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5.5" customHeight="1" x14ac:dyDescent="0.35">
      <c r="A895" s="5"/>
      <c r="B895" s="20"/>
      <c r="C895" s="6"/>
      <c r="D895" s="6" t="s">
        <v>899</v>
      </c>
      <c r="E895" s="11">
        <v>1</v>
      </c>
      <c r="F895" s="19">
        <f t="shared" si="3"/>
        <v>1.0501885088373362E-5</v>
      </c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5.5" customHeight="1" x14ac:dyDescent="0.35">
      <c r="A896" s="5"/>
      <c r="B896" s="20"/>
      <c r="C896" s="6"/>
      <c r="D896" s="6" t="s">
        <v>900</v>
      </c>
      <c r="E896" s="11">
        <v>1</v>
      </c>
      <c r="F896" s="19">
        <f t="shared" si="3"/>
        <v>1.0501885088373362E-5</v>
      </c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5.5" customHeight="1" x14ac:dyDescent="0.35">
      <c r="A897" s="5"/>
      <c r="B897" s="20"/>
      <c r="C897" s="6"/>
      <c r="D897" s="6" t="s">
        <v>901</v>
      </c>
      <c r="E897" s="11">
        <v>1</v>
      </c>
      <c r="F897" s="19">
        <f t="shared" si="3"/>
        <v>1.0501885088373362E-5</v>
      </c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5.5" customHeight="1" x14ac:dyDescent="0.35">
      <c r="A898" s="5"/>
      <c r="B898" s="20"/>
      <c r="C898" s="6"/>
      <c r="D898" s="6" t="s">
        <v>902</v>
      </c>
      <c r="E898" s="11">
        <v>1</v>
      </c>
      <c r="F898" s="19">
        <f t="shared" si="3"/>
        <v>1.0501885088373362E-5</v>
      </c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5.5" customHeight="1" x14ac:dyDescent="0.35">
      <c r="A899" s="5"/>
      <c r="B899" s="20"/>
      <c r="C899" s="6"/>
      <c r="D899" s="6" t="s">
        <v>903</v>
      </c>
      <c r="E899" s="11">
        <v>1</v>
      </c>
      <c r="F899" s="19">
        <f t="shared" si="3"/>
        <v>1.0501885088373362E-5</v>
      </c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5.5" customHeight="1" x14ac:dyDescent="0.35">
      <c r="A900" s="5"/>
      <c r="B900" s="20"/>
      <c r="C900" s="6"/>
      <c r="D900" s="6" t="s">
        <v>904</v>
      </c>
      <c r="E900" s="11">
        <v>1</v>
      </c>
      <c r="F900" s="19">
        <f t="shared" si="3"/>
        <v>1.0501885088373362E-5</v>
      </c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5.5" customHeight="1" x14ac:dyDescent="0.35">
      <c r="A901" s="5"/>
      <c r="B901" s="20"/>
      <c r="C901" s="6"/>
      <c r="D901" s="6" t="s">
        <v>905</v>
      </c>
      <c r="E901" s="11">
        <v>1</v>
      </c>
      <c r="F901" s="19">
        <f t="shared" si="3"/>
        <v>1.0501885088373362E-5</v>
      </c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5.5" customHeight="1" x14ac:dyDescent="0.35">
      <c r="A902" s="5"/>
      <c r="B902" s="20"/>
      <c r="C902" s="6"/>
      <c r="D902" s="6" t="s">
        <v>906</v>
      </c>
      <c r="E902" s="11">
        <v>1</v>
      </c>
      <c r="F902" s="19">
        <f t="shared" si="3"/>
        <v>1.0501885088373362E-5</v>
      </c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5.5" customHeight="1" x14ac:dyDescent="0.35">
      <c r="A903" s="5"/>
      <c r="B903" s="20"/>
      <c r="C903" s="6"/>
      <c r="D903" s="6" t="s">
        <v>907</v>
      </c>
      <c r="E903" s="11">
        <v>1</v>
      </c>
      <c r="F903" s="19">
        <f t="shared" si="3"/>
        <v>1.0501885088373362E-5</v>
      </c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5.5" customHeight="1" x14ac:dyDescent="0.35">
      <c r="A904" s="5"/>
      <c r="B904" s="20"/>
      <c r="C904" s="6"/>
      <c r="D904" s="6" t="s">
        <v>908</v>
      </c>
      <c r="E904" s="11">
        <v>1</v>
      </c>
      <c r="F904" s="19">
        <f t="shared" si="3"/>
        <v>1.0501885088373362E-5</v>
      </c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5.5" customHeight="1" x14ac:dyDescent="0.35">
      <c r="A905" s="5"/>
      <c r="B905" s="20"/>
      <c r="C905" s="6"/>
      <c r="D905" s="6" t="s">
        <v>909</v>
      </c>
      <c r="E905" s="11">
        <v>1</v>
      </c>
      <c r="F905" s="19">
        <f t="shared" si="3"/>
        <v>1.0501885088373362E-5</v>
      </c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5.5" customHeight="1" x14ac:dyDescent="0.35">
      <c r="A906" s="5"/>
      <c r="B906" s="20"/>
      <c r="C906" s="6"/>
      <c r="D906" s="6" t="s">
        <v>910</v>
      </c>
      <c r="E906" s="11">
        <v>1</v>
      </c>
      <c r="F906" s="19">
        <f t="shared" si="3"/>
        <v>1.0501885088373362E-5</v>
      </c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5.5" customHeight="1" x14ac:dyDescent="0.35">
      <c r="A907" s="5"/>
      <c r="B907" s="20"/>
      <c r="C907" s="6"/>
      <c r="D907" s="6" t="s">
        <v>911</v>
      </c>
      <c r="E907" s="11">
        <v>1</v>
      </c>
      <c r="F907" s="19">
        <f t="shared" si="3"/>
        <v>1.0501885088373362E-5</v>
      </c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5.5" customHeight="1" x14ac:dyDescent="0.35">
      <c r="A908" s="5"/>
      <c r="B908" s="20"/>
      <c r="C908" s="6"/>
      <c r="D908" s="6" t="s">
        <v>912</v>
      </c>
      <c r="E908" s="11">
        <v>1</v>
      </c>
      <c r="F908" s="19">
        <f t="shared" si="3"/>
        <v>1.0501885088373362E-5</v>
      </c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5.5" customHeight="1" x14ac:dyDescent="0.35">
      <c r="A909" s="5"/>
      <c r="B909" s="20"/>
      <c r="C909" s="6"/>
      <c r="D909" s="6" t="s">
        <v>913</v>
      </c>
      <c r="E909" s="11">
        <v>1</v>
      </c>
      <c r="F909" s="19">
        <f t="shared" si="3"/>
        <v>1.0501885088373362E-5</v>
      </c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5.5" customHeight="1" x14ac:dyDescent="0.35">
      <c r="A910" s="5"/>
      <c r="B910" s="20"/>
      <c r="C910" s="6"/>
      <c r="D910" s="6" t="s">
        <v>914</v>
      </c>
      <c r="E910" s="11">
        <v>1</v>
      </c>
      <c r="F910" s="19">
        <f t="shared" si="3"/>
        <v>1.0501885088373362E-5</v>
      </c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5.5" customHeight="1" x14ac:dyDescent="0.35">
      <c r="A911" s="5"/>
      <c r="B911" s="20"/>
      <c r="C911" s="6"/>
      <c r="D911" s="6" t="s">
        <v>915</v>
      </c>
      <c r="E911" s="11">
        <v>1</v>
      </c>
      <c r="F911" s="19">
        <f t="shared" si="3"/>
        <v>1.0501885088373362E-5</v>
      </c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5.5" customHeight="1" x14ac:dyDescent="0.35">
      <c r="A912" s="5"/>
      <c r="B912" s="20"/>
      <c r="C912" s="6"/>
      <c r="D912" s="6" t="s">
        <v>916</v>
      </c>
      <c r="E912" s="11">
        <v>1</v>
      </c>
      <c r="F912" s="19">
        <f t="shared" si="3"/>
        <v>1.0501885088373362E-5</v>
      </c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5.5" customHeight="1" x14ac:dyDescent="0.35">
      <c r="A913" s="5"/>
      <c r="B913" s="20"/>
      <c r="C913" s="6"/>
      <c r="D913" s="6" t="s">
        <v>917</v>
      </c>
      <c r="E913" s="11">
        <v>1</v>
      </c>
      <c r="F913" s="19">
        <f t="shared" si="3"/>
        <v>1.0501885088373362E-5</v>
      </c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5.5" customHeight="1" x14ac:dyDescent="0.35">
      <c r="A914" s="5"/>
      <c r="B914" s="20"/>
      <c r="C914" s="6"/>
      <c r="D914" s="6" t="s">
        <v>918</v>
      </c>
      <c r="E914" s="11">
        <v>1</v>
      </c>
      <c r="F914" s="19">
        <f t="shared" si="3"/>
        <v>1.0501885088373362E-5</v>
      </c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5.5" customHeight="1" x14ac:dyDescent="0.35">
      <c r="A915" s="5"/>
      <c r="B915" s="20"/>
      <c r="C915" s="6"/>
      <c r="D915" s="6" t="s">
        <v>919</v>
      </c>
      <c r="E915" s="11">
        <v>1</v>
      </c>
      <c r="F915" s="19">
        <f t="shared" si="3"/>
        <v>1.0501885088373362E-5</v>
      </c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5.5" customHeight="1" x14ac:dyDescent="0.35">
      <c r="A916" s="5"/>
      <c r="B916" s="20"/>
      <c r="C916" s="6"/>
      <c r="D916" s="6" t="s">
        <v>920</v>
      </c>
      <c r="E916" s="11">
        <v>1</v>
      </c>
      <c r="F916" s="19">
        <f t="shared" si="3"/>
        <v>1.0501885088373362E-5</v>
      </c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5.5" customHeight="1" x14ac:dyDescent="0.35">
      <c r="A917" s="5"/>
      <c r="B917" s="20"/>
      <c r="C917" s="6"/>
      <c r="D917" s="6" t="s">
        <v>921</v>
      </c>
      <c r="E917" s="11">
        <v>1</v>
      </c>
      <c r="F917" s="19">
        <f t="shared" si="3"/>
        <v>1.0501885088373362E-5</v>
      </c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5.5" customHeight="1" x14ac:dyDescent="0.35">
      <c r="A918" s="5"/>
      <c r="B918" s="20"/>
      <c r="C918" s="6"/>
      <c r="D918" s="6" t="s">
        <v>922</v>
      </c>
      <c r="E918" s="11">
        <v>1</v>
      </c>
      <c r="F918" s="19">
        <f t="shared" si="3"/>
        <v>1.0501885088373362E-5</v>
      </c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5.5" customHeight="1" x14ac:dyDescent="0.35">
      <c r="A919" s="5"/>
      <c r="B919" s="20"/>
      <c r="C919" s="6"/>
      <c r="D919" s="6" t="s">
        <v>923</v>
      </c>
      <c r="E919" s="11">
        <v>1</v>
      </c>
      <c r="F919" s="19">
        <f t="shared" si="3"/>
        <v>1.0501885088373362E-5</v>
      </c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5.5" customHeight="1" x14ac:dyDescent="0.35">
      <c r="A920" s="5"/>
      <c r="B920" s="20"/>
      <c r="C920" s="6"/>
      <c r="D920" s="6" t="s">
        <v>924</v>
      </c>
      <c r="E920" s="11">
        <v>1</v>
      </c>
      <c r="F920" s="19">
        <f t="shared" si="3"/>
        <v>1.0501885088373362E-5</v>
      </c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5.5" customHeight="1" x14ac:dyDescent="0.35">
      <c r="A921" s="5"/>
      <c r="B921" s="20"/>
      <c r="C921" s="6"/>
      <c r="D921" s="6" t="s">
        <v>925</v>
      </c>
      <c r="E921" s="11">
        <v>1</v>
      </c>
      <c r="F921" s="19">
        <f t="shared" si="3"/>
        <v>1.0501885088373362E-5</v>
      </c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5.5" customHeight="1" x14ac:dyDescent="0.35">
      <c r="A922" s="5"/>
      <c r="B922" s="20"/>
      <c r="C922" s="6"/>
      <c r="D922" s="6" t="s">
        <v>926</v>
      </c>
      <c r="E922" s="11">
        <v>1</v>
      </c>
      <c r="F922" s="19">
        <f t="shared" si="3"/>
        <v>1.0501885088373362E-5</v>
      </c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5.5" customHeight="1" x14ac:dyDescent="0.35">
      <c r="A923" s="5"/>
      <c r="B923" s="20"/>
      <c r="C923" s="6"/>
      <c r="D923" s="6" t="s">
        <v>927</v>
      </c>
      <c r="E923" s="11">
        <v>1</v>
      </c>
      <c r="F923" s="19">
        <f t="shared" si="3"/>
        <v>1.0501885088373362E-5</v>
      </c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5.5" customHeight="1" x14ac:dyDescent="0.35">
      <c r="A924" s="5"/>
      <c r="B924" s="20"/>
      <c r="C924" s="6"/>
      <c r="D924" s="6" t="s">
        <v>928</v>
      </c>
      <c r="E924" s="11">
        <v>1</v>
      </c>
      <c r="F924" s="19">
        <f t="shared" si="3"/>
        <v>1.0501885088373362E-5</v>
      </c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5.5" customHeight="1" x14ac:dyDescent="0.35">
      <c r="A925" s="5"/>
      <c r="B925" s="20"/>
      <c r="C925" s="6"/>
      <c r="D925" s="6" t="s">
        <v>929</v>
      </c>
      <c r="E925" s="11">
        <v>1</v>
      </c>
      <c r="F925" s="19">
        <f t="shared" si="3"/>
        <v>1.0501885088373362E-5</v>
      </c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5.5" customHeight="1" x14ac:dyDescent="0.35">
      <c r="A926" s="5"/>
      <c r="B926" s="20"/>
      <c r="C926" s="6"/>
      <c r="D926" s="6" t="s">
        <v>930</v>
      </c>
      <c r="E926" s="11">
        <v>1</v>
      </c>
      <c r="F926" s="19">
        <f t="shared" si="3"/>
        <v>1.0501885088373362E-5</v>
      </c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5.5" customHeight="1" x14ac:dyDescent="0.35">
      <c r="A927" s="5"/>
      <c r="B927" s="20"/>
      <c r="C927" s="6"/>
      <c r="D927" s="6" t="s">
        <v>931</v>
      </c>
      <c r="E927" s="11">
        <v>1</v>
      </c>
      <c r="F927" s="19">
        <f t="shared" si="3"/>
        <v>1.0501885088373362E-5</v>
      </c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5.5" customHeight="1" x14ac:dyDescent="0.35">
      <c r="A928" s="5"/>
      <c r="B928" s="20"/>
      <c r="C928" s="6"/>
      <c r="D928" s="6" t="s">
        <v>932</v>
      </c>
      <c r="E928" s="11">
        <v>1</v>
      </c>
      <c r="F928" s="19">
        <f t="shared" si="3"/>
        <v>1.0501885088373362E-5</v>
      </c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5.5" customHeight="1" x14ac:dyDescent="0.35">
      <c r="A929" s="5"/>
      <c r="B929" s="20"/>
      <c r="C929" s="6"/>
      <c r="D929" s="6" t="s">
        <v>933</v>
      </c>
      <c r="E929" s="11">
        <v>1</v>
      </c>
      <c r="F929" s="19">
        <f t="shared" si="3"/>
        <v>1.0501885088373362E-5</v>
      </c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5.5" customHeight="1" x14ac:dyDescent="0.35">
      <c r="A930" s="5"/>
      <c r="B930" s="20"/>
      <c r="C930" s="6"/>
      <c r="D930" s="6" t="s">
        <v>934</v>
      </c>
      <c r="E930" s="11">
        <v>1</v>
      </c>
      <c r="F930" s="19">
        <f t="shared" si="3"/>
        <v>1.0501885088373362E-5</v>
      </c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5.5" customHeight="1" x14ac:dyDescent="0.35">
      <c r="A931" s="5"/>
      <c r="B931" s="20"/>
      <c r="C931" s="6"/>
      <c r="D931" s="6" t="s">
        <v>935</v>
      </c>
      <c r="E931" s="11">
        <v>1</v>
      </c>
      <c r="F931" s="19">
        <f t="shared" si="3"/>
        <v>1.0501885088373362E-5</v>
      </c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5.5" customHeight="1" x14ac:dyDescent="0.35">
      <c r="A932" s="5"/>
      <c r="B932" s="20"/>
      <c r="C932" s="6"/>
      <c r="D932" s="6" t="s">
        <v>936</v>
      </c>
      <c r="E932" s="11">
        <v>1</v>
      </c>
      <c r="F932" s="19">
        <f t="shared" si="3"/>
        <v>1.0501885088373362E-5</v>
      </c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5.5" customHeight="1" x14ac:dyDescent="0.35">
      <c r="A933" s="5"/>
      <c r="B933" s="20"/>
      <c r="C933" s="6"/>
      <c r="D933" s="6" t="s">
        <v>937</v>
      </c>
      <c r="E933" s="11">
        <v>1</v>
      </c>
      <c r="F933" s="19">
        <f t="shared" si="3"/>
        <v>1.0501885088373362E-5</v>
      </c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5.5" customHeight="1" x14ac:dyDescent="0.35">
      <c r="A934" s="5"/>
      <c r="B934" s="20"/>
      <c r="C934" s="6"/>
      <c r="D934" s="6" t="s">
        <v>938</v>
      </c>
      <c r="E934" s="11">
        <v>1</v>
      </c>
      <c r="F934" s="19">
        <f t="shared" si="3"/>
        <v>1.0501885088373362E-5</v>
      </c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5.5" customHeight="1" x14ac:dyDescent="0.35">
      <c r="A935" s="5"/>
      <c r="B935" s="20"/>
      <c r="C935" s="6"/>
      <c r="D935" s="6" t="s">
        <v>939</v>
      </c>
      <c r="E935" s="11">
        <v>1</v>
      </c>
      <c r="F935" s="19">
        <f t="shared" si="3"/>
        <v>1.0501885088373362E-5</v>
      </c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5.5" customHeight="1" x14ac:dyDescent="0.35">
      <c r="A936" s="5"/>
      <c r="B936" s="20"/>
      <c r="C936" s="6"/>
      <c r="D936" s="6" t="s">
        <v>940</v>
      </c>
      <c r="E936" s="11">
        <v>1</v>
      </c>
      <c r="F936" s="19">
        <f t="shared" si="3"/>
        <v>1.0501885088373362E-5</v>
      </c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5.5" customHeight="1" x14ac:dyDescent="0.35">
      <c r="A937" s="5"/>
      <c r="B937" s="20"/>
      <c r="C937" s="6"/>
      <c r="D937" s="6" t="s">
        <v>941</v>
      </c>
      <c r="E937" s="11">
        <v>1</v>
      </c>
      <c r="F937" s="19">
        <f t="shared" si="3"/>
        <v>1.0501885088373362E-5</v>
      </c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5.5" customHeight="1" x14ac:dyDescent="0.35">
      <c r="A938" s="5"/>
      <c r="B938" s="20"/>
      <c r="C938" s="6"/>
      <c r="D938" s="6" t="s">
        <v>942</v>
      </c>
      <c r="E938" s="11">
        <v>1</v>
      </c>
      <c r="F938" s="19">
        <f t="shared" si="3"/>
        <v>1.0501885088373362E-5</v>
      </c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5.5" customHeight="1" x14ac:dyDescent="0.35">
      <c r="A939" s="5"/>
      <c r="B939" s="20"/>
      <c r="C939" s="6"/>
      <c r="D939" s="6" t="s">
        <v>943</v>
      </c>
      <c r="E939" s="11">
        <v>1</v>
      </c>
      <c r="F939" s="19">
        <f t="shared" si="3"/>
        <v>1.0501885088373362E-5</v>
      </c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5.5" customHeight="1" x14ac:dyDescent="0.35">
      <c r="A940" s="5"/>
      <c r="B940" s="20"/>
      <c r="C940" s="6"/>
      <c r="D940" s="6" t="s">
        <v>944</v>
      </c>
      <c r="E940" s="11">
        <v>1</v>
      </c>
      <c r="F940" s="19">
        <f t="shared" si="3"/>
        <v>1.0501885088373362E-5</v>
      </c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5.5" customHeight="1" x14ac:dyDescent="0.35">
      <c r="A941" s="5"/>
      <c r="B941" s="20"/>
      <c r="C941" s="6"/>
      <c r="D941" s="6" t="s">
        <v>945</v>
      </c>
      <c r="E941" s="11">
        <v>1</v>
      </c>
      <c r="F941" s="19">
        <f t="shared" si="3"/>
        <v>1.0501885088373362E-5</v>
      </c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5.5" customHeight="1" x14ac:dyDescent="0.35">
      <c r="A942" s="5"/>
      <c r="B942" s="20"/>
      <c r="C942" s="6"/>
      <c r="D942" s="6" t="s">
        <v>946</v>
      </c>
      <c r="E942" s="11">
        <v>1</v>
      </c>
      <c r="F942" s="19">
        <f t="shared" si="3"/>
        <v>1.0501885088373362E-5</v>
      </c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5.5" customHeight="1" x14ac:dyDescent="0.35">
      <c r="A943" s="5"/>
      <c r="B943" s="20"/>
      <c r="C943" s="6"/>
      <c r="D943" s="6" t="s">
        <v>947</v>
      </c>
      <c r="E943" s="11">
        <v>1</v>
      </c>
      <c r="F943" s="19">
        <f t="shared" si="3"/>
        <v>1.0501885088373362E-5</v>
      </c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5.5" customHeight="1" x14ac:dyDescent="0.35">
      <c r="A944" s="5"/>
      <c r="B944" s="20"/>
      <c r="C944" s="6"/>
      <c r="D944" s="6" t="s">
        <v>948</v>
      </c>
      <c r="E944" s="11">
        <v>1</v>
      </c>
      <c r="F944" s="19">
        <f t="shared" si="3"/>
        <v>1.0501885088373362E-5</v>
      </c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5.5" customHeight="1" x14ac:dyDescent="0.35">
      <c r="A945" s="5"/>
      <c r="B945" s="20"/>
      <c r="C945" s="6"/>
      <c r="D945" s="6" t="s">
        <v>949</v>
      </c>
      <c r="E945" s="11">
        <v>1</v>
      </c>
      <c r="F945" s="19">
        <f t="shared" si="3"/>
        <v>1.0501885088373362E-5</v>
      </c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5.5" customHeight="1" x14ac:dyDescent="0.35">
      <c r="A946" s="5"/>
      <c r="B946" s="20"/>
      <c r="C946" s="6"/>
      <c r="D946" s="6" t="s">
        <v>950</v>
      </c>
      <c r="E946" s="11">
        <v>1</v>
      </c>
      <c r="F946" s="19">
        <f t="shared" si="3"/>
        <v>1.0501885088373362E-5</v>
      </c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5.5" customHeight="1" x14ac:dyDescent="0.35">
      <c r="A947" s="5"/>
      <c r="B947" s="20"/>
      <c r="C947" s="6"/>
      <c r="D947" s="6" t="s">
        <v>951</v>
      </c>
      <c r="E947" s="11">
        <v>1</v>
      </c>
      <c r="F947" s="19">
        <f t="shared" si="3"/>
        <v>1.0501885088373362E-5</v>
      </c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5.5" customHeight="1" x14ac:dyDescent="0.35">
      <c r="A948" s="5"/>
      <c r="B948" s="20"/>
      <c r="C948" s="6"/>
      <c r="D948" s="6" t="s">
        <v>952</v>
      </c>
      <c r="E948" s="11">
        <v>1</v>
      </c>
      <c r="F948" s="19">
        <f t="shared" si="3"/>
        <v>1.0501885088373362E-5</v>
      </c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5.5" customHeight="1" x14ac:dyDescent="0.35">
      <c r="A949" s="5"/>
      <c r="B949" s="20"/>
      <c r="C949" s="6"/>
      <c r="D949" s="6" t="s">
        <v>953</v>
      </c>
      <c r="E949" s="11">
        <v>1</v>
      </c>
      <c r="F949" s="19">
        <f t="shared" si="3"/>
        <v>1.0501885088373362E-5</v>
      </c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5.5" customHeight="1" x14ac:dyDescent="0.35">
      <c r="A950" s="5"/>
      <c r="B950" s="20"/>
      <c r="C950" s="6"/>
      <c r="D950" s="6" t="s">
        <v>954</v>
      </c>
      <c r="E950" s="11">
        <v>1</v>
      </c>
      <c r="F950" s="19">
        <f t="shared" si="3"/>
        <v>1.0501885088373362E-5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5.5" customHeight="1" x14ac:dyDescent="0.35">
      <c r="A951" s="5"/>
      <c r="B951" s="20"/>
      <c r="C951" s="6"/>
      <c r="D951" s="6" t="s">
        <v>955</v>
      </c>
      <c r="E951" s="11">
        <v>1</v>
      </c>
      <c r="F951" s="19">
        <f t="shared" si="3"/>
        <v>1.0501885088373362E-5</v>
      </c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5.5" customHeight="1" x14ac:dyDescent="0.35">
      <c r="A952" s="5"/>
      <c r="B952" s="20"/>
      <c r="C952" s="6"/>
      <c r="D952" s="6" t="s">
        <v>956</v>
      </c>
      <c r="E952" s="11">
        <v>1</v>
      </c>
      <c r="F952" s="19">
        <f t="shared" si="3"/>
        <v>1.0501885088373362E-5</v>
      </c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5.5" customHeight="1" x14ac:dyDescent="0.35">
      <c r="A953" s="5"/>
      <c r="B953" s="20"/>
      <c r="C953" s="6"/>
      <c r="D953" s="6" t="s">
        <v>957</v>
      </c>
      <c r="E953" s="11">
        <v>1</v>
      </c>
      <c r="F953" s="19">
        <f t="shared" si="3"/>
        <v>1.0501885088373362E-5</v>
      </c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5.5" customHeight="1" x14ac:dyDescent="0.35">
      <c r="A954" s="5"/>
      <c r="B954" s="20"/>
      <c r="C954" s="6"/>
      <c r="D954" s="6" t="s">
        <v>958</v>
      </c>
      <c r="E954" s="11">
        <v>1</v>
      </c>
      <c r="F954" s="19">
        <f t="shared" si="3"/>
        <v>1.0501885088373362E-5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5.5" customHeight="1" x14ac:dyDescent="0.35">
      <c r="A955" s="5"/>
      <c r="B955" s="20"/>
      <c r="C955" s="6"/>
      <c r="D955" s="6" t="s">
        <v>959</v>
      </c>
      <c r="E955" s="11">
        <v>1</v>
      </c>
      <c r="F955" s="19">
        <f t="shared" si="3"/>
        <v>1.0501885088373362E-5</v>
      </c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5.5" customHeight="1" x14ac:dyDescent="0.35">
      <c r="A956" s="5"/>
      <c r="B956" s="20"/>
      <c r="C956" s="6"/>
      <c r="D956" s="6" t="s">
        <v>960</v>
      </c>
      <c r="E956" s="11">
        <v>1</v>
      </c>
      <c r="F956" s="19">
        <f t="shared" si="3"/>
        <v>1.0501885088373362E-5</v>
      </c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5.5" customHeight="1" x14ac:dyDescent="0.35">
      <c r="A957" s="5"/>
      <c r="B957" s="20"/>
      <c r="C957" s="6"/>
      <c r="D957" s="6" t="s">
        <v>961</v>
      </c>
      <c r="E957" s="11">
        <v>1</v>
      </c>
      <c r="F957" s="19">
        <f t="shared" si="3"/>
        <v>1.0501885088373362E-5</v>
      </c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5.5" customHeight="1" x14ac:dyDescent="0.35">
      <c r="A958" s="5"/>
      <c r="B958" s="20"/>
      <c r="C958" s="6"/>
      <c r="D958" s="6" t="s">
        <v>962</v>
      </c>
      <c r="E958" s="11">
        <v>1</v>
      </c>
      <c r="F958" s="19">
        <f t="shared" si="3"/>
        <v>1.0501885088373362E-5</v>
      </c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5.5" customHeight="1" x14ac:dyDescent="0.35">
      <c r="A959" s="5"/>
      <c r="B959" s="20"/>
      <c r="C959" s="6"/>
      <c r="D959" s="6" t="s">
        <v>963</v>
      </c>
      <c r="E959" s="11">
        <v>1</v>
      </c>
      <c r="F959" s="19">
        <f t="shared" si="3"/>
        <v>1.0501885088373362E-5</v>
      </c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5.5" customHeight="1" x14ac:dyDescent="0.35">
      <c r="A960" s="5"/>
      <c r="B960" s="20"/>
      <c r="C960" s="6"/>
      <c r="D960" s="6" t="s">
        <v>964</v>
      </c>
      <c r="E960" s="11">
        <v>1</v>
      </c>
      <c r="F960" s="19">
        <f t="shared" si="3"/>
        <v>1.0501885088373362E-5</v>
      </c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5.5" customHeight="1" x14ac:dyDescent="0.35">
      <c r="A961" s="5"/>
      <c r="B961" s="20"/>
      <c r="C961" s="6"/>
      <c r="D961" s="6" t="s">
        <v>965</v>
      </c>
      <c r="E961" s="11">
        <v>1</v>
      </c>
      <c r="F961" s="19">
        <f t="shared" si="3"/>
        <v>1.0501885088373362E-5</v>
      </c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5.5" customHeight="1" x14ac:dyDescent="0.35">
      <c r="A962" s="5"/>
      <c r="B962" s="20"/>
      <c r="C962" s="6"/>
      <c r="D962" s="6" t="s">
        <v>966</v>
      </c>
      <c r="E962" s="11">
        <v>1</v>
      </c>
      <c r="F962" s="19">
        <f t="shared" si="3"/>
        <v>1.0501885088373362E-5</v>
      </c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5.5" customHeight="1" x14ac:dyDescent="0.35">
      <c r="A963" s="5"/>
      <c r="B963" s="20"/>
      <c r="C963" s="6"/>
      <c r="D963" s="6" t="s">
        <v>967</v>
      </c>
      <c r="E963" s="11">
        <v>1</v>
      </c>
      <c r="F963" s="19">
        <f t="shared" si="3"/>
        <v>1.0501885088373362E-5</v>
      </c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5.5" customHeight="1" x14ac:dyDescent="0.35">
      <c r="A964" s="5"/>
      <c r="B964" s="20"/>
      <c r="C964" s="6"/>
      <c r="D964" s="6" t="s">
        <v>968</v>
      </c>
      <c r="E964" s="11">
        <v>1</v>
      </c>
      <c r="F964" s="19">
        <f t="shared" si="3"/>
        <v>1.0501885088373362E-5</v>
      </c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5.5" customHeight="1" x14ac:dyDescent="0.35">
      <c r="A965" s="5"/>
      <c r="B965" s="20"/>
      <c r="C965" s="6"/>
      <c r="D965" s="6" t="s">
        <v>969</v>
      </c>
      <c r="E965" s="11">
        <v>1</v>
      </c>
      <c r="F965" s="19">
        <f t="shared" si="3"/>
        <v>1.0501885088373362E-5</v>
      </c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5.5" customHeight="1" x14ac:dyDescent="0.35">
      <c r="A966" s="5"/>
      <c r="B966" s="20"/>
      <c r="C966" s="6"/>
      <c r="D966" s="6" t="s">
        <v>970</v>
      </c>
      <c r="E966" s="11">
        <v>1</v>
      </c>
      <c r="F966" s="19">
        <f t="shared" si="3"/>
        <v>1.0501885088373362E-5</v>
      </c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5.5" customHeight="1" x14ac:dyDescent="0.35">
      <c r="A967" s="5"/>
      <c r="B967" s="20"/>
      <c r="C967" s="6"/>
      <c r="D967" s="6" t="s">
        <v>971</v>
      </c>
      <c r="E967" s="11">
        <v>1</v>
      </c>
      <c r="F967" s="19">
        <f t="shared" si="3"/>
        <v>1.0501885088373362E-5</v>
      </c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5.5" customHeight="1" x14ac:dyDescent="0.35">
      <c r="A968" s="5"/>
      <c r="B968" s="20"/>
      <c r="C968" s="6"/>
      <c r="D968" s="6" t="s">
        <v>972</v>
      </c>
      <c r="E968" s="11">
        <v>1</v>
      </c>
      <c r="F968" s="19">
        <f t="shared" si="3"/>
        <v>1.0501885088373362E-5</v>
      </c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5.5" customHeight="1" x14ac:dyDescent="0.35">
      <c r="A969" s="5"/>
      <c r="B969" s="20"/>
      <c r="C969" s="6"/>
      <c r="D969" s="6" t="s">
        <v>973</v>
      </c>
      <c r="E969" s="11">
        <v>1</v>
      </c>
      <c r="F969" s="19">
        <f t="shared" si="3"/>
        <v>1.0501885088373362E-5</v>
      </c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5.5" customHeight="1" x14ac:dyDescent="0.35">
      <c r="A970" s="5"/>
      <c r="B970" s="20"/>
      <c r="C970" s="6"/>
      <c r="D970" s="6" t="s">
        <v>974</v>
      </c>
      <c r="E970" s="11">
        <v>1</v>
      </c>
      <c r="F970" s="19">
        <f t="shared" si="3"/>
        <v>1.0501885088373362E-5</v>
      </c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5.5" customHeight="1" x14ac:dyDescent="0.35">
      <c r="A971" s="5"/>
      <c r="B971" s="20"/>
      <c r="C971" s="6"/>
      <c r="D971" s="6" t="s">
        <v>975</v>
      </c>
      <c r="E971" s="11">
        <v>1</v>
      </c>
      <c r="F971" s="19">
        <f t="shared" si="3"/>
        <v>1.0501885088373362E-5</v>
      </c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5.5" customHeight="1" x14ac:dyDescent="0.35">
      <c r="A972" s="5"/>
      <c r="B972" s="20"/>
      <c r="C972" s="6"/>
      <c r="D972" s="6" t="s">
        <v>976</v>
      </c>
      <c r="E972" s="11">
        <v>1</v>
      </c>
      <c r="F972" s="19">
        <f t="shared" si="3"/>
        <v>1.0501885088373362E-5</v>
      </c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5.5" customHeight="1" x14ac:dyDescent="0.35">
      <c r="A973" s="5"/>
      <c r="B973" s="20"/>
      <c r="C973" s="6"/>
      <c r="D973" s="6" t="s">
        <v>977</v>
      </c>
      <c r="E973" s="11">
        <v>1</v>
      </c>
      <c r="F973" s="19">
        <f t="shared" si="3"/>
        <v>1.0501885088373362E-5</v>
      </c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5.5" customHeight="1" x14ac:dyDescent="0.35">
      <c r="A974" s="5"/>
      <c r="B974" s="20"/>
      <c r="C974" s="6"/>
      <c r="D974" s="6" t="s">
        <v>978</v>
      </c>
      <c r="E974" s="11">
        <v>1</v>
      </c>
      <c r="F974" s="19">
        <f t="shared" si="3"/>
        <v>1.0501885088373362E-5</v>
      </c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5.5" customHeight="1" x14ac:dyDescent="0.35">
      <c r="A975" s="5"/>
      <c r="B975" s="20"/>
      <c r="C975" s="6"/>
      <c r="D975" s="6" t="s">
        <v>979</v>
      </c>
      <c r="E975" s="11">
        <v>1</v>
      </c>
      <c r="F975" s="19">
        <f t="shared" si="3"/>
        <v>1.0501885088373362E-5</v>
      </c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5.5" customHeight="1" x14ac:dyDescent="0.35">
      <c r="A976" s="5"/>
      <c r="B976" s="20"/>
      <c r="C976" s="6"/>
      <c r="D976" s="6" t="s">
        <v>980</v>
      </c>
      <c r="E976" s="11">
        <v>1</v>
      </c>
      <c r="F976" s="19">
        <f t="shared" si="3"/>
        <v>1.0501885088373362E-5</v>
      </c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5.5" customHeight="1" x14ac:dyDescent="0.35">
      <c r="A977" s="5"/>
      <c r="B977" s="20"/>
      <c r="C977" s="6"/>
      <c r="D977" s="6" t="s">
        <v>981</v>
      </c>
      <c r="E977" s="11">
        <v>1</v>
      </c>
      <c r="F977" s="19">
        <f t="shared" si="3"/>
        <v>1.0501885088373362E-5</v>
      </c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5.5" customHeight="1" x14ac:dyDescent="0.35">
      <c r="A978" s="5"/>
      <c r="B978" s="20"/>
      <c r="C978" s="6"/>
      <c r="D978" s="6" t="s">
        <v>982</v>
      </c>
      <c r="E978" s="11">
        <v>1</v>
      </c>
      <c r="F978" s="19">
        <f t="shared" si="3"/>
        <v>1.0501885088373362E-5</v>
      </c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5.5" customHeight="1" x14ac:dyDescent="0.35">
      <c r="A979" s="5"/>
      <c r="B979" s="20"/>
      <c r="C979" s="6"/>
      <c r="D979" s="6" t="s">
        <v>983</v>
      </c>
      <c r="E979" s="11">
        <v>1</v>
      </c>
      <c r="F979" s="19">
        <f t="shared" si="3"/>
        <v>1.0501885088373362E-5</v>
      </c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5.5" customHeight="1" x14ac:dyDescent="0.35">
      <c r="A980" s="5"/>
      <c r="B980" s="20"/>
      <c r="C980" s="6"/>
      <c r="D980" s="6" t="s">
        <v>984</v>
      </c>
      <c r="E980" s="11">
        <v>1</v>
      </c>
      <c r="F980" s="19">
        <f t="shared" si="3"/>
        <v>1.0501885088373362E-5</v>
      </c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5.5" customHeight="1" x14ac:dyDescent="0.35">
      <c r="A981" s="5"/>
      <c r="B981" s="20"/>
      <c r="C981" s="6"/>
      <c r="D981" s="6" t="s">
        <v>985</v>
      </c>
      <c r="E981" s="11">
        <v>1</v>
      </c>
      <c r="F981" s="19">
        <f t="shared" si="3"/>
        <v>1.0501885088373362E-5</v>
      </c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5.5" customHeight="1" x14ac:dyDescent="0.35">
      <c r="A982" s="5"/>
      <c r="B982" s="20"/>
      <c r="C982" s="6"/>
      <c r="D982" s="6" t="s">
        <v>986</v>
      </c>
      <c r="E982" s="11">
        <v>1</v>
      </c>
      <c r="F982" s="19">
        <f t="shared" si="3"/>
        <v>1.0501885088373362E-5</v>
      </c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5.5" customHeight="1" x14ac:dyDescent="0.35">
      <c r="A983" s="5"/>
      <c r="B983" s="20"/>
      <c r="C983" s="6"/>
      <c r="D983" s="6" t="s">
        <v>987</v>
      </c>
      <c r="E983" s="11">
        <v>1</v>
      </c>
      <c r="F983" s="19">
        <f t="shared" si="3"/>
        <v>1.0501885088373362E-5</v>
      </c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5.5" customHeight="1" x14ac:dyDescent="0.35">
      <c r="A984" s="5"/>
      <c r="B984" s="20"/>
      <c r="C984" s="6"/>
      <c r="D984" s="6" t="s">
        <v>988</v>
      </c>
      <c r="E984" s="11">
        <v>1</v>
      </c>
      <c r="F984" s="19">
        <f t="shared" si="3"/>
        <v>1.0501885088373362E-5</v>
      </c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5.5" customHeight="1" x14ac:dyDescent="0.35">
      <c r="A985" s="5"/>
      <c r="B985" s="20"/>
      <c r="C985" s="6"/>
      <c r="D985" s="6" t="s">
        <v>989</v>
      </c>
      <c r="E985" s="11">
        <v>1</v>
      </c>
      <c r="F985" s="19">
        <f t="shared" si="3"/>
        <v>1.0501885088373362E-5</v>
      </c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5.5" customHeight="1" x14ac:dyDescent="0.35">
      <c r="A986" s="5"/>
      <c r="B986" s="20"/>
      <c r="C986" s="6"/>
      <c r="D986" s="6" t="s">
        <v>990</v>
      </c>
      <c r="E986" s="11">
        <v>1</v>
      </c>
      <c r="F986" s="19">
        <f t="shared" si="3"/>
        <v>1.0501885088373362E-5</v>
      </c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5.5" customHeight="1" x14ac:dyDescent="0.35">
      <c r="A987" s="5"/>
      <c r="B987" s="20"/>
      <c r="C987" s="6"/>
      <c r="D987" s="6" t="s">
        <v>991</v>
      </c>
      <c r="E987" s="11">
        <v>1</v>
      </c>
      <c r="F987" s="19">
        <f t="shared" si="3"/>
        <v>1.0501885088373362E-5</v>
      </c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5.5" customHeight="1" x14ac:dyDescent="0.35">
      <c r="A988" s="5"/>
      <c r="B988" s="20"/>
      <c r="C988" s="6"/>
      <c r="D988" s="6" t="s">
        <v>992</v>
      </c>
      <c r="E988" s="11">
        <v>1</v>
      </c>
      <c r="F988" s="19">
        <f t="shared" si="3"/>
        <v>1.0501885088373362E-5</v>
      </c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5.5" customHeight="1" x14ac:dyDescent="0.35">
      <c r="A989" s="5"/>
      <c r="B989" s="20"/>
      <c r="C989" s="6"/>
      <c r="D989" s="6" t="s">
        <v>993</v>
      </c>
      <c r="E989" s="11">
        <v>1</v>
      </c>
      <c r="F989" s="19">
        <f t="shared" si="3"/>
        <v>1.0501885088373362E-5</v>
      </c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5.5" customHeight="1" x14ac:dyDescent="0.35">
      <c r="A990" s="5"/>
      <c r="B990" s="20"/>
      <c r="C990" s="6"/>
      <c r="D990" s="6" t="s">
        <v>994</v>
      </c>
      <c r="E990" s="11">
        <v>1</v>
      </c>
      <c r="F990" s="19">
        <f t="shared" si="3"/>
        <v>1.0501885088373362E-5</v>
      </c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5.5" customHeight="1" x14ac:dyDescent="0.35">
      <c r="A991" s="5"/>
      <c r="B991" s="20"/>
      <c r="C991" s="6"/>
      <c r="D991" s="6" t="s">
        <v>995</v>
      </c>
      <c r="E991" s="11">
        <v>1</v>
      </c>
      <c r="F991" s="19">
        <f t="shared" si="3"/>
        <v>1.0501885088373362E-5</v>
      </c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5.5" customHeight="1" x14ac:dyDescent="0.35">
      <c r="A992" s="5"/>
      <c r="B992" s="20"/>
      <c r="C992" s="6"/>
      <c r="D992" s="6" t="s">
        <v>996</v>
      </c>
      <c r="E992" s="11">
        <v>1</v>
      </c>
      <c r="F992" s="19">
        <f t="shared" si="3"/>
        <v>1.0501885088373362E-5</v>
      </c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5.5" customHeight="1" x14ac:dyDescent="0.35">
      <c r="A993" s="5"/>
      <c r="B993" s="20"/>
      <c r="C993" s="6"/>
      <c r="D993" s="6" t="s">
        <v>997</v>
      </c>
      <c r="E993" s="11">
        <v>1</v>
      </c>
      <c r="F993" s="19">
        <f t="shared" si="3"/>
        <v>1.0501885088373362E-5</v>
      </c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5.5" customHeight="1" x14ac:dyDescent="0.35">
      <c r="A994" s="5"/>
      <c r="B994" s="20"/>
      <c r="C994" s="6"/>
      <c r="D994" s="6" t="s">
        <v>998</v>
      </c>
      <c r="E994" s="11">
        <v>1</v>
      </c>
      <c r="F994" s="19">
        <f t="shared" si="3"/>
        <v>1.0501885088373362E-5</v>
      </c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5.5" customHeight="1" x14ac:dyDescent="0.35">
      <c r="A995" s="5"/>
      <c r="B995" s="20"/>
      <c r="C995" s="6"/>
      <c r="D995" s="6" t="s">
        <v>999</v>
      </c>
      <c r="E995" s="11">
        <v>1</v>
      </c>
      <c r="F995" s="19">
        <f t="shared" si="3"/>
        <v>1.0501885088373362E-5</v>
      </c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5.5" customHeight="1" x14ac:dyDescent="0.35">
      <c r="A996" s="5"/>
      <c r="B996" s="20"/>
      <c r="C996" s="6"/>
      <c r="D996" s="6" t="s">
        <v>1000</v>
      </c>
      <c r="E996" s="11">
        <v>1</v>
      </c>
      <c r="F996" s="19">
        <f t="shared" si="3"/>
        <v>1.0501885088373362E-5</v>
      </c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5.5" customHeight="1" x14ac:dyDescent="0.35">
      <c r="A997" s="5"/>
      <c r="B997" s="20"/>
      <c r="C997" s="6"/>
      <c r="D997" s="6" t="s">
        <v>1001</v>
      </c>
      <c r="E997" s="11">
        <v>1</v>
      </c>
      <c r="F997" s="19">
        <f t="shared" si="3"/>
        <v>1.0501885088373362E-5</v>
      </c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5.5" customHeight="1" x14ac:dyDescent="0.35">
      <c r="A998" s="5"/>
      <c r="B998" s="20"/>
      <c r="C998" s="6"/>
      <c r="D998" s="6" t="s">
        <v>1002</v>
      </c>
      <c r="E998" s="11">
        <v>1</v>
      </c>
      <c r="F998" s="19">
        <f t="shared" si="3"/>
        <v>1.0501885088373362E-5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5.5" customHeight="1" x14ac:dyDescent="0.35">
      <c r="A999" s="5"/>
      <c r="B999" s="20"/>
      <c r="C999" s="6"/>
      <c r="D999" s="6" t="s">
        <v>1003</v>
      </c>
      <c r="E999" s="11">
        <v>1</v>
      </c>
      <c r="F999" s="19">
        <f t="shared" si="3"/>
        <v>1.0501885088373362E-5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5.5" customHeight="1" x14ac:dyDescent="0.35">
      <c r="A1000" s="5"/>
      <c r="B1000" s="20"/>
      <c r="C1000" s="6"/>
      <c r="D1000" s="6" t="s">
        <v>1004</v>
      </c>
      <c r="E1000" s="11">
        <v>1</v>
      </c>
      <c r="F1000" s="19">
        <f t="shared" si="3"/>
        <v>1.0501885088373362E-5</v>
      </c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25.5" customHeight="1" x14ac:dyDescent="0.35">
      <c r="A1001" s="5"/>
      <c r="B1001" s="20"/>
      <c r="C1001" s="6"/>
      <c r="D1001" s="6" t="s">
        <v>1005</v>
      </c>
      <c r="E1001" s="11">
        <v>1</v>
      </c>
      <c r="F1001" s="19">
        <f t="shared" si="3"/>
        <v>1.0501885088373362E-5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25.5" customHeight="1" x14ac:dyDescent="0.35">
      <c r="A1002" s="5"/>
      <c r="B1002" s="20"/>
      <c r="C1002" s="6"/>
      <c r="D1002" s="6" t="s">
        <v>1006</v>
      </c>
      <c r="E1002" s="11">
        <v>1</v>
      </c>
      <c r="F1002" s="19">
        <f t="shared" si="3"/>
        <v>1.0501885088373362E-5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25.5" customHeight="1" x14ac:dyDescent="0.35">
      <c r="A1003" s="5"/>
      <c r="B1003" s="20"/>
      <c r="C1003" s="6"/>
      <c r="D1003" s="6" t="s">
        <v>1007</v>
      </c>
      <c r="E1003" s="11">
        <v>1</v>
      </c>
      <c r="F1003" s="19">
        <f t="shared" si="3"/>
        <v>1.0501885088373362E-5</v>
      </c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25.5" customHeight="1" x14ac:dyDescent="0.35">
      <c r="A1004" s="5"/>
      <c r="B1004" s="20"/>
      <c r="C1004" s="6"/>
      <c r="D1004" s="6" t="s">
        <v>1008</v>
      </c>
      <c r="E1004" s="11">
        <v>1</v>
      </c>
      <c r="F1004" s="19">
        <f t="shared" si="3"/>
        <v>1.0501885088373362E-5</v>
      </c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25.5" customHeight="1" x14ac:dyDescent="0.35">
      <c r="A1005" s="5"/>
      <c r="B1005" s="20"/>
      <c r="C1005" s="6"/>
      <c r="D1005" s="6" t="s">
        <v>1009</v>
      </c>
      <c r="E1005" s="11">
        <v>1</v>
      </c>
      <c r="F1005" s="19">
        <f t="shared" si="3"/>
        <v>1.0501885088373362E-5</v>
      </c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25.5" customHeight="1" x14ac:dyDescent="0.35">
      <c r="A1006" s="5"/>
      <c r="B1006" s="20"/>
      <c r="C1006" s="6"/>
      <c r="D1006" s="6" t="s">
        <v>1010</v>
      </c>
      <c r="E1006" s="11">
        <v>1</v>
      </c>
      <c r="F1006" s="19">
        <f t="shared" si="3"/>
        <v>1.0501885088373362E-5</v>
      </c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25.5" customHeight="1" x14ac:dyDescent="0.35">
      <c r="A1007" s="5"/>
      <c r="B1007" s="20"/>
      <c r="C1007" s="6"/>
      <c r="D1007" s="6" t="s">
        <v>1011</v>
      </c>
      <c r="E1007" s="11">
        <v>1</v>
      </c>
      <c r="F1007" s="19">
        <f t="shared" si="3"/>
        <v>1.0501885088373362E-5</v>
      </c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25.5" customHeight="1" x14ac:dyDescent="0.35">
      <c r="A1008" s="5"/>
      <c r="B1008" s="18">
        <f>IF(MOD(ROW()-8,500)=0,SUM($E$9:E1008) /$E$6,"")</f>
        <v>0.99969544533243715</v>
      </c>
      <c r="C1008" s="6"/>
      <c r="D1008" s="6" t="s">
        <v>1012</v>
      </c>
      <c r="E1008" s="11">
        <v>1</v>
      </c>
      <c r="F1008" s="19">
        <f t="shared" si="3"/>
        <v>1.0501885088373362E-5</v>
      </c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25.5" customHeight="1" x14ac:dyDescent="0.35">
      <c r="A1009" s="5"/>
      <c r="B1009" s="20"/>
      <c r="C1009" s="6"/>
      <c r="D1009" s="6" t="s">
        <v>1013</v>
      </c>
      <c r="E1009" s="11">
        <v>1</v>
      </c>
      <c r="F1009" s="19">
        <f t="shared" si="3"/>
        <v>1.0501885088373362E-5</v>
      </c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25.5" customHeight="1" x14ac:dyDescent="0.35">
      <c r="A1010" s="5"/>
      <c r="B1010" s="20"/>
      <c r="C1010" s="6"/>
      <c r="D1010" s="6" t="s">
        <v>1014</v>
      </c>
      <c r="E1010" s="11">
        <v>1</v>
      </c>
      <c r="F1010" s="19">
        <f t="shared" si="3"/>
        <v>1.0501885088373362E-5</v>
      </c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25.5" customHeight="1" x14ac:dyDescent="0.35">
      <c r="A1011" s="5"/>
      <c r="B1011" s="20"/>
      <c r="C1011" s="6"/>
      <c r="D1011" s="6" t="s">
        <v>1015</v>
      </c>
      <c r="E1011" s="11">
        <v>1</v>
      </c>
      <c r="F1011" s="19">
        <f t="shared" si="3"/>
        <v>1.0501885088373362E-5</v>
      </c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25.5" customHeight="1" x14ac:dyDescent="0.35">
      <c r="A1012" s="5"/>
      <c r="B1012" s="20"/>
      <c r="C1012" s="6"/>
      <c r="D1012" s="6" t="s">
        <v>1016</v>
      </c>
      <c r="E1012" s="11">
        <v>1</v>
      </c>
      <c r="F1012" s="19">
        <f t="shared" si="3"/>
        <v>1.0501885088373362E-5</v>
      </c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25.5" customHeight="1" x14ac:dyDescent="0.35">
      <c r="A1013" s="5"/>
      <c r="B1013" s="20"/>
      <c r="C1013" s="6"/>
      <c r="D1013" s="6" t="s">
        <v>1017</v>
      </c>
      <c r="E1013" s="11">
        <v>1</v>
      </c>
      <c r="F1013" s="19">
        <f t="shared" si="3"/>
        <v>1.0501885088373362E-5</v>
      </c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25.5" customHeight="1" x14ac:dyDescent="0.35">
      <c r="A1014" s="5"/>
      <c r="B1014" s="20"/>
      <c r="C1014" s="6"/>
      <c r="D1014" s="6" t="s">
        <v>1018</v>
      </c>
      <c r="E1014" s="11">
        <v>1</v>
      </c>
      <c r="F1014" s="19">
        <f t="shared" si="3"/>
        <v>1.0501885088373362E-5</v>
      </c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25.5" customHeight="1" x14ac:dyDescent="0.35">
      <c r="A1015" s="5"/>
      <c r="B1015" s="20"/>
      <c r="C1015" s="6"/>
      <c r="D1015" s="6" t="s">
        <v>1019</v>
      </c>
      <c r="E1015" s="11">
        <v>1</v>
      </c>
      <c r="F1015" s="19">
        <f t="shared" si="3"/>
        <v>1.0501885088373362E-5</v>
      </c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25.5" customHeight="1" x14ac:dyDescent="0.35">
      <c r="A1016" s="5"/>
      <c r="B1016" s="20"/>
      <c r="C1016" s="6"/>
      <c r="D1016" s="6" t="s">
        <v>1020</v>
      </c>
      <c r="E1016" s="11">
        <v>1</v>
      </c>
      <c r="F1016" s="19">
        <f t="shared" si="3"/>
        <v>1.0501885088373362E-5</v>
      </c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25.5" customHeight="1" x14ac:dyDescent="0.35">
      <c r="A1017" s="5"/>
      <c r="B1017" s="20"/>
      <c r="C1017" s="6"/>
      <c r="D1017" s="6" t="s">
        <v>1021</v>
      </c>
      <c r="E1017" s="11">
        <v>1</v>
      </c>
      <c r="F1017" s="19">
        <f t="shared" si="3"/>
        <v>1.0501885088373362E-5</v>
      </c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25.5" customHeight="1" x14ac:dyDescent="0.35">
      <c r="A1018" s="5"/>
      <c r="B1018" s="20"/>
      <c r="C1018" s="6"/>
      <c r="D1018" s="6" t="s">
        <v>1022</v>
      </c>
      <c r="E1018" s="11">
        <v>1</v>
      </c>
      <c r="F1018" s="19">
        <f t="shared" si="3"/>
        <v>1.0501885088373362E-5</v>
      </c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25.5" customHeight="1" x14ac:dyDescent="0.35">
      <c r="A1019" s="5"/>
      <c r="B1019" s="20"/>
      <c r="C1019" s="6"/>
      <c r="D1019" s="6" t="s">
        <v>1023</v>
      </c>
      <c r="E1019" s="11">
        <v>1</v>
      </c>
      <c r="F1019" s="19">
        <f t="shared" si="3"/>
        <v>1.0501885088373362E-5</v>
      </c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25.5" customHeight="1" x14ac:dyDescent="0.35">
      <c r="A1020" s="5"/>
      <c r="B1020" s="18"/>
      <c r="C1020" s="6"/>
      <c r="D1020" s="6" t="s">
        <v>1024</v>
      </c>
      <c r="E1020" s="11">
        <v>1</v>
      </c>
      <c r="F1020" s="19">
        <f t="shared" si="3"/>
        <v>1.0501885088373362E-5</v>
      </c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25.5" customHeight="1" x14ac:dyDescent="0.35">
      <c r="A1021" s="5"/>
      <c r="B1021" s="20"/>
      <c r="C1021" s="6"/>
      <c r="D1021" s="6" t="s">
        <v>1025</v>
      </c>
      <c r="E1021" s="11">
        <v>1</v>
      </c>
      <c r="F1021" s="19">
        <f t="shared" si="3"/>
        <v>1.0501885088373362E-5</v>
      </c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25.5" customHeight="1" x14ac:dyDescent="0.35">
      <c r="A1022" s="5"/>
      <c r="B1022" s="20"/>
      <c r="C1022" s="6"/>
      <c r="D1022" s="6" t="s">
        <v>1026</v>
      </c>
      <c r="E1022" s="11">
        <v>1</v>
      </c>
      <c r="F1022" s="19">
        <f t="shared" si="3"/>
        <v>1.0501885088373362E-5</v>
      </c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25.5" customHeight="1" x14ac:dyDescent="0.35">
      <c r="A1023" s="5"/>
      <c r="B1023" s="20"/>
      <c r="C1023" s="6"/>
      <c r="D1023" s="6" t="s">
        <v>1027</v>
      </c>
      <c r="E1023" s="11">
        <v>1</v>
      </c>
      <c r="F1023" s="19">
        <f t="shared" si="3"/>
        <v>1.0501885088373362E-5</v>
      </c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25.5" customHeight="1" x14ac:dyDescent="0.35">
      <c r="A1024" s="5"/>
      <c r="B1024" s="20"/>
      <c r="C1024" s="6"/>
      <c r="D1024" s="6" t="s">
        <v>1028</v>
      </c>
      <c r="E1024" s="11">
        <v>1</v>
      </c>
      <c r="F1024" s="19">
        <f t="shared" si="3"/>
        <v>1.0501885088373362E-5</v>
      </c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25.5" customHeight="1" x14ac:dyDescent="0.35">
      <c r="A1025" s="5"/>
      <c r="B1025" s="20"/>
      <c r="C1025" s="6"/>
      <c r="D1025" s="6" t="s">
        <v>1029</v>
      </c>
      <c r="E1025" s="11">
        <v>1</v>
      </c>
      <c r="F1025" s="19">
        <f t="shared" si="3"/>
        <v>1.0501885088373362E-5</v>
      </c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25.5" customHeight="1" x14ac:dyDescent="0.35">
      <c r="A1026" s="5"/>
      <c r="B1026" s="20"/>
      <c r="C1026" s="6"/>
      <c r="D1026" s="6" t="s">
        <v>1030</v>
      </c>
      <c r="E1026" s="11">
        <v>1</v>
      </c>
      <c r="F1026" s="19">
        <f t="shared" si="3"/>
        <v>1.0501885088373362E-5</v>
      </c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25.5" customHeight="1" x14ac:dyDescent="0.35">
      <c r="A1027" s="5"/>
      <c r="B1027" s="20"/>
      <c r="C1027" s="6"/>
      <c r="D1027" s="6" t="s">
        <v>1031</v>
      </c>
      <c r="E1027" s="11">
        <v>1</v>
      </c>
      <c r="F1027" s="19">
        <f t="shared" si="3"/>
        <v>1.0501885088373362E-5</v>
      </c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25.5" customHeight="1" x14ac:dyDescent="0.35">
      <c r="A1028" s="5"/>
      <c r="B1028" s="20"/>
      <c r="C1028" s="6"/>
      <c r="D1028" s="6" t="s">
        <v>1032</v>
      </c>
      <c r="E1028" s="11">
        <v>1</v>
      </c>
      <c r="F1028" s="19">
        <f t="shared" si="3"/>
        <v>1.0501885088373362E-5</v>
      </c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25.5" customHeight="1" x14ac:dyDescent="0.35">
      <c r="A1029" s="5"/>
      <c r="B1029" s="20"/>
      <c r="C1029" s="6"/>
      <c r="D1029" s="6" t="s">
        <v>1033</v>
      </c>
      <c r="E1029" s="11">
        <v>1</v>
      </c>
      <c r="F1029" s="19">
        <f t="shared" ref="F1029:F1037" si="4">E1029/$E$6</f>
        <v>1.0501885088373362E-5</v>
      </c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25.5" customHeight="1" x14ac:dyDescent="0.35">
      <c r="A1030" s="5"/>
      <c r="B1030" s="20"/>
      <c r="C1030" s="6"/>
      <c r="D1030" s="6" t="s">
        <v>1034</v>
      </c>
      <c r="E1030" s="11">
        <v>1</v>
      </c>
      <c r="F1030" s="19">
        <f t="shared" si="4"/>
        <v>1.0501885088373362E-5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25.5" customHeight="1" x14ac:dyDescent="0.35">
      <c r="A1031" s="5"/>
      <c r="B1031" s="20"/>
      <c r="C1031" s="6"/>
      <c r="D1031" s="6" t="s">
        <v>1035</v>
      </c>
      <c r="E1031" s="11">
        <v>1</v>
      </c>
      <c r="F1031" s="19">
        <f t="shared" si="4"/>
        <v>1.0501885088373362E-5</v>
      </c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25.5" customHeight="1" x14ac:dyDescent="0.35">
      <c r="A1032" s="5"/>
      <c r="B1032" s="20"/>
      <c r="C1032" s="6"/>
      <c r="D1032" s="6" t="s">
        <v>1036</v>
      </c>
      <c r="E1032" s="11">
        <v>1</v>
      </c>
      <c r="F1032" s="19">
        <f t="shared" si="4"/>
        <v>1.0501885088373362E-5</v>
      </c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25.5" customHeight="1" x14ac:dyDescent="0.35">
      <c r="A1033" s="5"/>
      <c r="B1033" s="20"/>
      <c r="C1033" s="6"/>
      <c r="D1033" s="6" t="s">
        <v>1037</v>
      </c>
      <c r="E1033" s="11">
        <v>1</v>
      </c>
      <c r="F1033" s="19">
        <f t="shared" si="4"/>
        <v>1.0501885088373362E-5</v>
      </c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25.5" customHeight="1" x14ac:dyDescent="0.35">
      <c r="A1034" s="5"/>
      <c r="B1034" s="20"/>
      <c r="C1034" s="6"/>
      <c r="D1034" s="6" t="s">
        <v>1038</v>
      </c>
      <c r="E1034" s="11">
        <v>1</v>
      </c>
      <c r="F1034" s="19">
        <f t="shared" si="4"/>
        <v>1.0501885088373362E-5</v>
      </c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25.5" customHeight="1" x14ac:dyDescent="0.35">
      <c r="A1035" s="5"/>
      <c r="B1035" s="20"/>
      <c r="C1035" s="6"/>
      <c r="D1035" s="6" t="s">
        <v>1039</v>
      </c>
      <c r="E1035" s="11">
        <v>1</v>
      </c>
      <c r="F1035" s="19">
        <f t="shared" si="4"/>
        <v>1.0501885088373362E-5</v>
      </c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25.5" customHeight="1" x14ac:dyDescent="0.35">
      <c r="A1036" s="5"/>
      <c r="B1036" s="20"/>
      <c r="C1036" s="6"/>
      <c r="D1036" s="6" t="s">
        <v>1040</v>
      </c>
      <c r="E1036" s="11">
        <v>1</v>
      </c>
      <c r="F1036" s="19">
        <f t="shared" si="4"/>
        <v>1.0501885088373362E-5</v>
      </c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25.5" customHeight="1" x14ac:dyDescent="0.35">
      <c r="A1037" s="5"/>
      <c r="B1037" s="20">
        <f>SUM($E$9:E5008) /$E$6</f>
        <v>1</v>
      </c>
      <c r="C1037" s="6"/>
      <c r="D1037" s="6" t="s">
        <v>1041</v>
      </c>
      <c r="E1037" s="11">
        <v>1</v>
      </c>
      <c r="F1037" s="19">
        <f t="shared" si="4"/>
        <v>1.0501885088373362E-5</v>
      </c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25.5" customHeight="1" x14ac:dyDescent="0.35">
      <c r="A1038" s="5"/>
      <c r="B1038" s="20"/>
      <c r="C1038" s="6"/>
      <c r="D1038" s="6"/>
      <c r="E1038" s="11"/>
      <c r="F1038" s="19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25.5" customHeight="1" x14ac:dyDescent="0.35">
      <c r="A1039" s="5"/>
      <c r="B1039" s="20"/>
      <c r="C1039" s="6"/>
      <c r="D1039" s="6"/>
      <c r="E1039" s="11"/>
      <c r="F1039" s="19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25.5" customHeight="1" x14ac:dyDescent="0.35">
      <c r="A1040" s="5"/>
      <c r="B1040" s="20"/>
      <c r="C1040" s="6"/>
      <c r="D1040" s="6"/>
      <c r="E1040" s="11"/>
      <c r="F1040" s="19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25.5" customHeight="1" x14ac:dyDescent="0.35">
      <c r="A1041" s="5"/>
      <c r="B1041" s="20"/>
      <c r="C1041" s="6"/>
      <c r="D1041" s="6"/>
      <c r="E1041" s="11"/>
      <c r="F1041" s="19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25.5" customHeight="1" x14ac:dyDescent="0.35">
      <c r="A1042" s="5"/>
      <c r="B1042" s="20"/>
      <c r="C1042" s="6"/>
      <c r="D1042" s="6"/>
      <c r="E1042" s="11"/>
      <c r="F1042" s="19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25.5" customHeight="1" x14ac:dyDescent="0.35">
      <c r="A1043" s="5"/>
      <c r="B1043" s="20"/>
      <c r="C1043" s="6"/>
      <c r="D1043" s="6"/>
      <c r="E1043" s="11"/>
      <c r="F1043" s="19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25.5" customHeight="1" x14ac:dyDescent="0.35">
      <c r="A1044" s="5"/>
      <c r="B1044" s="20"/>
      <c r="C1044" s="6"/>
      <c r="D1044" s="6"/>
      <c r="E1044" s="11"/>
      <c r="F1044" s="19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25.5" customHeight="1" x14ac:dyDescent="0.35">
      <c r="A1045" s="5"/>
      <c r="B1045" s="20"/>
      <c r="C1045" s="6"/>
      <c r="D1045" s="6"/>
      <c r="E1045" s="11"/>
      <c r="F1045" s="19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25.5" customHeight="1" x14ac:dyDescent="0.35">
      <c r="A1046" s="5"/>
      <c r="B1046" s="20"/>
      <c r="C1046" s="6"/>
      <c r="D1046" s="6"/>
      <c r="E1046" s="11"/>
      <c r="F1046" s="19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25.5" customHeight="1" x14ac:dyDescent="0.35">
      <c r="A1047" s="5"/>
      <c r="B1047" s="20"/>
      <c r="C1047" s="6"/>
      <c r="D1047" s="6"/>
      <c r="E1047" s="11"/>
      <c r="F1047" s="19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25.5" customHeight="1" x14ac:dyDescent="0.35">
      <c r="A1048" s="5"/>
      <c r="B1048" s="20"/>
      <c r="C1048" s="6"/>
      <c r="D1048" s="6"/>
      <c r="E1048" s="11"/>
      <c r="F1048" s="19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25.5" customHeight="1" x14ac:dyDescent="0.35">
      <c r="A1049" s="5"/>
      <c r="B1049" s="20"/>
      <c r="C1049" s="6"/>
      <c r="D1049" s="6"/>
      <c r="E1049" s="11"/>
      <c r="F1049" s="19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25.5" customHeight="1" x14ac:dyDescent="0.35">
      <c r="A1050" s="5"/>
      <c r="B1050" s="20"/>
      <c r="C1050" s="6"/>
      <c r="D1050" s="6"/>
      <c r="E1050" s="11"/>
      <c r="F1050" s="19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25.5" customHeight="1" x14ac:dyDescent="0.35">
      <c r="A1051" s="5"/>
      <c r="B1051" s="20"/>
      <c r="C1051" s="6"/>
      <c r="D1051" s="6"/>
      <c r="E1051" s="11"/>
      <c r="F1051" s="19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25.5" customHeight="1" x14ac:dyDescent="0.35">
      <c r="A1052" s="5"/>
      <c r="B1052" s="20"/>
      <c r="C1052" s="6"/>
      <c r="D1052" s="6"/>
      <c r="E1052" s="11"/>
      <c r="F1052" s="19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25.5" customHeight="1" x14ac:dyDescent="0.35">
      <c r="A1053" s="5"/>
      <c r="B1053" s="20"/>
      <c r="C1053" s="6"/>
      <c r="D1053" s="6"/>
      <c r="E1053" s="11"/>
      <c r="F1053" s="19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25.5" customHeight="1" x14ac:dyDescent="0.35">
      <c r="A1054" s="5"/>
      <c r="B1054" s="20"/>
      <c r="C1054" s="6"/>
      <c r="D1054" s="6"/>
      <c r="E1054" s="11"/>
      <c r="F1054" s="19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25.5" customHeight="1" x14ac:dyDescent="0.35">
      <c r="A1055" s="5"/>
      <c r="B1055" s="20"/>
      <c r="C1055" s="6"/>
      <c r="D1055" s="6"/>
      <c r="E1055" s="11"/>
      <c r="F1055" s="19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25.5" customHeight="1" x14ac:dyDescent="0.35">
      <c r="A1056" s="5"/>
      <c r="B1056" s="20"/>
      <c r="C1056" s="6"/>
      <c r="D1056" s="6"/>
      <c r="E1056" s="11"/>
      <c r="F1056" s="19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25.5" customHeight="1" x14ac:dyDescent="0.35">
      <c r="A1057" s="5"/>
      <c r="B1057" s="20"/>
      <c r="C1057" s="6"/>
      <c r="D1057" s="6"/>
      <c r="E1057" s="11"/>
      <c r="F1057" s="19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25.5" customHeight="1" x14ac:dyDescent="0.35">
      <c r="A1058" s="5"/>
      <c r="B1058" s="20"/>
      <c r="C1058" s="6"/>
      <c r="D1058" s="6"/>
      <c r="E1058" s="11"/>
      <c r="F1058" s="19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25.5" customHeight="1" x14ac:dyDescent="0.35">
      <c r="A1059" s="5"/>
      <c r="B1059" s="20"/>
      <c r="C1059" s="6"/>
      <c r="D1059" s="6"/>
      <c r="E1059" s="11"/>
      <c r="F1059" s="19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25.5" customHeight="1" x14ac:dyDescent="0.35">
      <c r="A1060" s="5"/>
      <c r="B1060" s="20"/>
      <c r="C1060" s="6"/>
      <c r="D1060" s="6"/>
      <c r="E1060" s="11"/>
      <c r="F1060" s="19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25.5" customHeight="1" x14ac:dyDescent="0.35">
      <c r="A1061" s="5"/>
      <c r="B1061" s="20"/>
      <c r="C1061" s="6"/>
      <c r="D1061" s="6"/>
      <c r="E1061" s="11"/>
      <c r="F1061" s="19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25.5" customHeight="1" x14ac:dyDescent="0.35">
      <c r="A1062" s="5"/>
      <c r="B1062" s="20"/>
      <c r="C1062" s="6"/>
      <c r="D1062" s="6"/>
      <c r="E1062" s="11"/>
      <c r="F1062" s="19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25.5" customHeight="1" x14ac:dyDescent="0.35">
      <c r="A1063" s="5"/>
      <c r="B1063" s="20"/>
      <c r="C1063" s="6"/>
      <c r="D1063" s="6"/>
      <c r="E1063" s="11"/>
      <c r="F1063" s="19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25.5" customHeight="1" x14ac:dyDescent="0.35">
      <c r="A1064" s="5"/>
      <c r="B1064" s="20"/>
      <c r="C1064" s="6"/>
      <c r="D1064" s="6"/>
      <c r="E1064" s="11"/>
      <c r="F1064" s="19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25.5" customHeight="1" x14ac:dyDescent="0.35">
      <c r="A1065" s="5"/>
      <c r="B1065" s="20"/>
      <c r="C1065" s="6"/>
      <c r="D1065" s="6"/>
      <c r="E1065" s="11"/>
      <c r="F1065" s="19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25.5" customHeight="1" x14ac:dyDescent="0.35">
      <c r="A1066" s="5"/>
      <c r="B1066" s="20"/>
      <c r="C1066" s="6"/>
      <c r="D1066" s="6"/>
      <c r="E1066" s="11"/>
      <c r="F1066" s="19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25.5" customHeight="1" x14ac:dyDescent="0.35">
      <c r="A1067" s="5"/>
      <c r="B1067" s="20"/>
      <c r="C1067" s="6"/>
      <c r="D1067" s="6"/>
      <c r="E1067" s="11"/>
      <c r="F1067" s="19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25.5" customHeight="1" x14ac:dyDescent="0.35">
      <c r="A1068" s="5"/>
      <c r="B1068" s="20"/>
      <c r="C1068" s="6"/>
      <c r="D1068" s="6"/>
      <c r="E1068" s="11"/>
      <c r="F1068" s="19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25.5" customHeight="1" x14ac:dyDescent="0.35">
      <c r="A1069" s="5"/>
      <c r="B1069" s="20"/>
      <c r="C1069" s="6"/>
      <c r="D1069" s="6"/>
      <c r="E1069" s="11"/>
      <c r="F1069" s="19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25.5" customHeight="1" x14ac:dyDescent="0.35">
      <c r="A1070" s="5"/>
      <c r="B1070" s="20"/>
      <c r="C1070" s="6"/>
      <c r="D1070" s="6"/>
      <c r="E1070" s="11"/>
      <c r="F1070" s="19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25.5" customHeight="1" x14ac:dyDescent="0.35">
      <c r="A1071" s="5"/>
      <c r="B1071" s="20"/>
      <c r="C1071" s="6"/>
      <c r="D1071" s="6"/>
      <c r="E1071" s="11"/>
      <c r="F1071" s="19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25.5" customHeight="1" x14ac:dyDescent="0.35">
      <c r="A1072" s="5"/>
      <c r="B1072" s="20"/>
      <c r="C1072" s="6"/>
      <c r="D1072" s="6"/>
      <c r="E1072" s="11"/>
      <c r="F1072" s="19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25.5" customHeight="1" x14ac:dyDescent="0.35">
      <c r="A1073" s="5"/>
      <c r="B1073" s="20"/>
      <c r="C1073" s="6"/>
      <c r="D1073" s="6"/>
      <c r="E1073" s="11"/>
      <c r="F1073" s="19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25.5" customHeight="1" x14ac:dyDescent="0.35">
      <c r="A1074" s="5"/>
      <c r="B1074" s="20"/>
      <c r="C1074" s="6"/>
      <c r="D1074" s="6"/>
      <c r="E1074" s="11"/>
      <c r="F1074" s="19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25.5" customHeight="1" x14ac:dyDescent="0.35">
      <c r="A1075" s="5"/>
      <c r="B1075" s="20"/>
      <c r="C1075" s="6"/>
      <c r="D1075" s="6"/>
      <c r="E1075" s="11"/>
      <c r="F1075" s="19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25.5" customHeight="1" x14ac:dyDescent="0.35">
      <c r="A1076" s="5"/>
      <c r="B1076" s="20"/>
      <c r="C1076" s="6"/>
      <c r="D1076" s="6"/>
      <c r="E1076" s="11"/>
      <c r="F1076" s="19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25.5" customHeight="1" x14ac:dyDescent="0.35">
      <c r="A1077" s="5"/>
      <c r="B1077" s="20"/>
      <c r="C1077" s="6"/>
      <c r="D1077" s="6"/>
      <c r="E1077" s="11"/>
      <c r="F1077" s="19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25.5" customHeight="1" x14ac:dyDescent="0.35">
      <c r="A1078" s="5"/>
      <c r="B1078" s="20"/>
      <c r="C1078" s="6"/>
      <c r="D1078" s="6"/>
      <c r="E1078" s="11"/>
      <c r="F1078" s="19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25.5" customHeight="1" x14ac:dyDescent="0.35">
      <c r="A1079" s="5"/>
      <c r="B1079" s="20"/>
      <c r="C1079" s="6"/>
      <c r="D1079" s="6"/>
      <c r="E1079" s="11"/>
      <c r="F1079" s="19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25.5" customHeight="1" x14ac:dyDescent="0.35">
      <c r="A1080" s="5"/>
      <c r="B1080" s="20"/>
      <c r="C1080" s="6"/>
      <c r="D1080" s="6"/>
      <c r="E1080" s="11"/>
      <c r="F1080" s="19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25.5" customHeight="1" x14ac:dyDescent="0.35">
      <c r="A1081" s="5"/>
      <c r="B1081" s="20"/>
      <c r="C1081" s="6"/>
      <c r="D1081" s="6"/>
      <c r="E1081" s="11"/>
      <c r="F1081" s="19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25.5" customHeight="1" x14ac:dyDescent="0.35">
      <c r="A1082" s="5"/>
      <c r="B1082" s="20"/>
      <c r="C1082" s="6"/>
      <c r="D1082" s="6"/>
      <c r="E1082" s="11"/>
      <c r="F1082" s="19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25.5" customHeight="1" x14ac:dyDescent="0.35">
      <c r="A1083" s="5"/>
      <c r="B1083" s="20"/>
      <c r="C1083" s="6"/>
      <c r="D1083" s="6"/>
      <c r="E1083" s="11"/>
      <c r="F1083" s="19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25.5" customHeight="1" x14ac:dyDescent="0.35">
      <c r="A1084" s="5"/>
      <c r="B1084" s="20"/>
      <c r="C1084" s="6"/>
      <c r="D1084" s="6"/>
      <c r="E1084" s="11"/>
      <c r="F1084" s="19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25.5" customHeight="1" x14ac:dyDescent="0.35">
      <c r="A1085" s="5"/>
      <c r="B1085" s="20"/>
      <c r="C1085" s="6"/>
      <c r="D1085" s="6"/>
      <c r="E1085" s="11"/>
      <c r="F1085" s="19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25.5" customHeight="1" x14ac:dyDescent="0.35">
      <c r="A1086" s="5"/>
      <c r="B1086" s="20"/>
      <c r="C1086" s="6"/>
      <c r="D1086" s="6"/>
      <c r="E1086" s="11"/>
      <c r="F1086" s="19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25.5" customHeight="1" x14ac:dyDescent="0.35">
      <c r="A1087" s="5"/>
      <c r="B1087" s="20"/>
      <c r="C1087" s="6"/>
      <c r="D1087" s="6"/>
      <c r="E1087" s="11"/>
      <c r="F1087" s="19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25.5" customHeight="1" x14ac:dyDescent="0.35">
      <c r="A1088" s="5"/>
      <c r="B1088" s="20"/>
      <c r="C1088" s="6"/>
      <c r="D1088" s="6"/>
      <c r="E1088" s="11"/>
      <c r="F1088" s="19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25.5" customHeight="1" x14ac:dyDescent="0.35">
      <c r="A1089" s="5"/>
      <c r="B1089" s="20"/>
      <c r="C1089" s="6"/>
      <c r="D1089" s="6"/>
      <c r="E1089" s="11"/>
      <c r="F1089" s="19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25.5" customHeight="1" x14ac:dyDescent="0.35">
      <c r="A1090" s="5"/>
      <c r="B1090" s="20"/>
      <c r="C1090" s="6"/>
      <c r="D1090" s="6"/>
      <c r="E1090" s="11"/>
      <c r="F1090" s="19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25.5" customHeight="1" x14ac:dyDescent="0.35">
      <c r="A1091" s="5"/>
      <c r="B1091" s="20"/>
      <c r="C1091" s="6"/>
      <c r="D1091" s="6"/>
      <c r="E1091" s="11"/>
      <c r="F1091" s="19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25.5" customHeight="1" x14ac:dyDescent="0.35">
      <c r="A1092" s="5"/>
      <c r="B1092" s="20"/>
      <c r="C1092" s="6"/>
      <c r="D1092" s="6"/>
      <c r="E1092" s="11"/>
      <c r="F1092" s="19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25.5" customHeight="1" x14ac:dyDescent="0.35">
      <c r="A1093" s="5"/>
      <c r="B1093" s="20"/>
      <c r="C1093" s="6"/>
      <c r="D1093" s="6"/>
      <c r="E1093" s="11"/>
      <c r="F1093" s="19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25.5" customHeight="1" x14ac:dyDescent="0.35">
      <c r="A1094" s="5"/>
      <c r="B1094" s="20"/>
      <c r="C1094" s="6"/>
      <c r="D1094" s="6"/>
      <c r="E1094" s="11"/>
      <c r="F1094" s="19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25.5" customHeight="1" x14ac:dyDescent="0.35">
      <c r="A1095" s="5"/>
      <c r="B1095" s="20"/>
      <c r="C1095" s="6"/>
      <c r="D1095" s="6"/>
      <c r="E1095" s="11"/>
      <c r="F1095" s="19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25.5" customHeight="1" x14ac:dyDescent="0.35">
      <c r="A1096" s="5"/>
      <c r="B1096" s="20"/>
      <c r="C1096" s="6"/>
      <c r="D1096" s="6"/>
      <c r="E1096" s="11"/>
      <c r="F1096" s="19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25.5" customHeight="1" x14ac:dyDescent="0.35">
      <c r="A1097" s="5"/>
      <c r="B1097" s="20"/>
      <c r="C1097" s="6"/>
      <c r="D1097" s="6"/>
      <c r="E1097" s="11"/>
      <c r="F1097" s="19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25.5" customHeight="1" x14ac:dyDescent="0.35">
      <c r="A1098" s="5"/>
      <c r="B1098" s="20"/>
      <c r="C1098" s="6"/>
      <c r="D1098" s="6"/>
      <c r="E1098" s="11"/>
      <c r="F1098" s="19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25.5" customHeight="1" x14ac:dyDescent="0.35">
      <c r="A1099" s="5"/>
      <c r="B1099" s="20"/>
      <c r="C1099" s="6"/>
      <c r="D1099" s="6"/>
      <c r="E1099" s="11"/>
      <c r="F1099" s="19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25.5" customHeight="1" x14ac:dyDescent="0.35">
      <c r="A1100" s="5"/>
      <c r="B1100" s="20"/>
      <c r="C1100" s="6"/>
      <c r="D1100" s="6"/>
      <c r="E1100" s="11"/>
      <c r="F1100" s="19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25.5" customHeight="1" x14ac:dyDescent="0.35">
      <c r="A1101" s="5"/>
      <c r="B1101" s="20"/>
      <c r="C1101" s="6"/>
      <c r="D1101" s="6"/>
      <c r="E1101" s="11"/>
      <c r="F1101" s="19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25.5" customHeight="1" x14ac:dyDescent="0.35">
      <c r="A1102" s="5"/>
      <c r="B1102" s="20"/>
      <c r="C1102" s="6"/>
      <c r="D1102" s="6"/>
      <c r="E1102" s="11"/>
      <c r="F1102" s="19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25.5" customHeight="1" x14ac:dyDescent="0.35">
      <c r="A1103" s="5"/>
      <c r="B1103" s="20"/>
      <c r="C1103" s="6"/>
      <c r="D1103" s="6"/>
      <c r="E1103" s="11"/>
      <c r="F1103" s="19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25.5" customHeight="1" x14ac:dyDescent="0.35">
      <c r="A1104" s="5"/>
      <c r="B1104" s="20"/>
      <c r="C1104" s="6"/>
      <c r="D1104" s="6"/>
      <c r="E1104" s="11"/>
      <c r="F1104" s="19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25.5" customHeight="1" x14ac:dyDescent="0.35">
      <c r="A1105" s="5"/>
      <c r="B1105" s="20"/>
      <c r="C1105" s="6"/>
      <c r="D1105" s="6"/>
      <c r="E1105" s="11"/>
      <c r="F1105" s="19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25.5" customHeight="1" x14ac:dyDescent="0.35">
      <c r="A1106" s="5"/>
      <c r="B1106" s="20"/>
      <c r="C1106" s="6"/>
      <c r="D1106" s="6"/>
      <c r="E1106" s="11"/>
      <c r="F1106" s="19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25.5" customHeight="1" x14ac:dyDescent="0.35">
      <c r="A1107" s="5"/>
      <c r="B1107" s="20"/>
      <c r="C1107" s="6"/>
      <c r="D1107" s="6"/>
      <c r="E1107" s="11"/>
      <c r="F1107" s="19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25.5" customHeight="1" x14ac:dyDescent="0.35">
      <c r="A1108" s="5"/>
      <c r="B1108" s="20"/>
      <c r="C1108" s="6"/>
      <c r="D1108" s="6"/>
      <c r="E1108" s="11"/>
      <c r="F1108" s="19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25.5" customHeight="1" x14ac:dyDescent="0.35">
      <c r="A1109" s="5"/>
      <c r="B1109" s="20"/>
      <c r="C1109" s="6"/>
      <c r="D1109" s="6"/>
      <c r="E1109" s="11"/>
      <c r="F1109" s="19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25.5" customHeight="1" x14ac:dyDescent="0.35">
      <c r="A1110" s="5"/>
      <c r="B1110" s="20"/>
      <c r="C1110" s="6"/>
      <c r="D1110" s="6"/>
      <c r="E1110" s="11"/>
      <c r="F1110" s="19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25.5" customHeight="1" x14ac:dyDescent="0.35">
      <c r="A1111" s="5"/>
      <c r="B1111" s="20"/>
      <c r="C1111" s="6"/>
      <c r="D1111" s="6"/>
      <c r="E1111" s="11"/>
      <c r="F1111" s="19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25.5" customHeight="1" x14ac:dyDescent="0.35">
      <c r="A1112" s="5"/>
      <c r="B1112" s="20"/>
      <c r="C1112" s="6"/>
      <c r="D1112" s="6"/>
      <c r="E1112" s="11"/>
      <c r="F1112" s="19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25.5" customHeight="1" x14ac:dyDescent="0.35">
      <c r="A1113" s="5"/>
      <c r="B1113" s="20"/>
      <c r="C1113" s="6"/>
      <c r="D1113" s="6"/>
      <c r="E1113" s="11"/>
      <c r="F1113" s="19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25.5" customHeight="1" x14ac:dyDescent="0.35">
      <c r="A1114" s="5"/>
      <c r="B1114" s="20"/>
      <c r="C1114" s="6"/>
      <c r="D1114" s="6"/>
      <c r="E1114" s="11"/>
      <c r="F1114" s="19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25.5" customHeight="1" x14ac:dyDescent="0.35">
      <c r="A1115" s="5"/>
      <c r="B1115" s="20"/>
      <c r="C1115" s="6"/>
      <c r="D1115" s="6"/>
      <c r="E1115" s="11"/>
      <c r="F1115" s="19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25.5" customHeight="1" x14ac:dyDescent="0.35">
      <c r="A1116" s="5"/>
      <c r="B1116" s="20"/>
      <c r="C1116" s="6"/>
      <c r="D1116" s="6"/>
      <c r="E1116" s="11"/>
      <c r="F1116" s="19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25.5" customHeight="1" x14ac:dyDescent="0.35">
      <c r="A1117" s="5"/>
      <c r="B1117" s="20"/>
      <c r="C1117" s="6"/>
      <c r="D1117" s="6"/>
      <c r="E1117" s="11"/>
      <c r="F1117" s="19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25.5" customHeight="1" x14ac:dyDescent="0.35">
      <c r="A1118" s="5"/>
      <c r="B1118" s="20"/>
      <c r="C1118" s="6"/>
      <c r="D1118" s="6"/>
      <c r="E1118" s="11"/>
      <c r="F1118" s="19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25.5" customHeight="1" x14ac:dyDescent="0.35">
      <c r="A1119" s="5"/>
      <c r="B1119" s="20"/>
      <c r="C1119" s="6"/>
      <c r="D1119" s="6"/>
      <c r="E1119" s="11"/>
      <c r="F1119" s="19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25.5" customHeight="1" x14ac:dyDescent="0.35">
      <c r="A1120" s="5"/>
      <c r="B1120" s="20"/>
      <c r="C1120" s="6"/>
      <c r="D1120" s="6"/>
      <c r="E1120" s="11"/>
      <c r="F1120" s="19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25.5" customHeight="1" x14ac:dyDescent="0.35">
      <c r="A1121" s="5"/>
      <c r="B1121" s="20"/>
      <c r="C1121" s="6"/>
      <c r="D1121" s="6"/>
      <c r="E1121" s="11"/>
      <c r="F1121" s="19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25.5" customHeight="1" x14ac:dyDescent="0.35">
      <c r="A1122" s="5"/>
      <c r="B1122" s="20"/>
      <c r="C1122" s="6"/>
      <c r="D1122" s="6"/>
      <c r="E1122" s="11"/>
      <c r="F1122" s="19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25.5" customHeight="1" x14ac:dyDescent="0.35">
      <c r="A1123" s="5"/>
      <c r="B1123" s="20"/>
      <c r="C1123" s="6"/>
      <c r="D1123" s="6"/>
      <c r="E1123" s="11"/>
      <c r="F1123" s="19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25.5" customHeight="1" x14ac:dyDescent="0.35">
      <c r="A1124" s="5"/>
      <c r="B1124" s="20"/>
      <c r="C1124" s="6"/>
      <c r="D1124" s="6"/>
      <c r="E1124" s="11"/>
      <c r="F1124" s="19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25.5" customHeight="1" x14ac:dyDescent="0.35">
      <c r="A1125" s="5"/>
      <c r="B1125" s="20"/>
      <c r="C1125" s="6"/>
      <c r="D1125" s="6"/>
      <c r="E1125" s="11"/>
      <c r="F1125" s="19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25.5" customHeight="1" x14ac:dyDescent="0.35">
      <c r="A1126" s="5"/>
      <c r="B1126" s="20"/>
      <c r="C1126" s="6"/>
      <c r="D1126" s="6"/>
      <c r="E1126" s="11"/>
      <c r="F1126" s="19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25.5" customHeight="1" x14ac:dyDescent="0.35">
      <c r="A1127" s="5"/>
      <c r="B1127" s="20"/>
      <c r="C1127" s="6"/>
      <c r="D1127" s="6"/>
      <c r="E1127" s="11"/>
      <c r="F1127" s="19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25.5" customHeight="1" x14ac:dyDescent="0.35">
      <c r="A1128" s="5"/>
      <c r="B1128" s="20"/>
      <c r="C1128" s="6"/>
      <c r="D1128" s="6"/>
      <c r="E1128" s="11"/>
      <c r="F1128" s="19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25.5" customHeight="1" x14ac:dyDescent="0.35">
      <c r="A1129" s="5"/>
      <c r="B1129" s="20"/>
      <c r="C1129" s="6"/>
      <c r="D1129" s="6"/>
      <c r="E1129" s="11"/>
      <c r="F1129" s="19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25.5" customHeight="1" x14ac:dyDescent="0.35">
      <c r="A1130" s="5"/>
      <c r="B1130" s="20"/>
      <c r="C1130" s="6"/>
      <c r="D1130" s="6"/>
      <c r="E1130" s="11"/>
      <c r="F1130" s="19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25.5" customHeight="1" x14ac:dyDescent="0.35">
      <c r="A1131" s="5"/>
      <c r="B1131" s="20"/>
      <c r="C1131" s="6"/>
      <c r="D1131" s="6"/>
      <c r="E1131" s="11"/>
      <c r="F1131" s="19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25.5" customHeight="1" x14ac:dyDescent="0.35">
      <c r="A1132" s="5"/>
      <c r="B1132" s="20"/>
      <c r="C1132" s="6"/>
      <c r="D1132" s="6"/>
      <c r="E1132" s="11"/>
      <c r="F1132" s="19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25.5" customHeight="1" x14ac:dyDescent="0.35">
      <c r="A1133" s="5"/>
      <c r="B1133" s="20"/>
      <c r="C1133" s="6"/>
      <c r="D1133" s="6"/>
      <c r="E1133" s="11"/>
      <c r="F1133" s="19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25.5" customHeight="1" x14ac:dyDescent="0.35">
      <c r="A1134" s="5"/>
      <c r="B1134" s="20"/>
      <c r="C1134" s="6"/>
      <c r="D1134" s="6"/>
      <c r="E1134" s="11"/>
      <c r="F1134" s="19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25.5" customHeight="1" x14ac:dyDescent="0.35">
      <c r="A1135" s="5"/>
      <c r="B1135" s="20"/>
      <c r="C1135" s="6"/>
      <c r="D1135" s="6"/>
      <c r="E1135" s="11"/>
      <c r="F1135" s="19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25.5" customHeight="1" x14ac:dyDescent="0.35">
      <c r="A1136" s="5"/>
      <c r="B1136" s="20"/>
      <c r="C1136" s="6"/>
      <c r="D1136" s="6"/>
      <c r="E1136" s="11"/>
      <c r="F1136" s="19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25.5" customHeight="1" x14ac:dyDescent="0.35">
      <c r="A1137" s="5"/>
      <c r="B1137" s="20"/>
      <c r="C1137" s="6"/>
      <c r="D1137" s="6"/>
      <c r="E1137" s="11"/>
      <c r="F1137" s="19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25.5" customHeight="1" x14ac:dyDescent="0.35">
      <c r="A1138" s="5"/>
      <c r="B1138" s="20"/>
      <c r="C1138" s="6"/>
      <c r="D1138" s="6"/>
      <c r="E1138" s="11"/>
      <c r="F1138" s="19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25.5" customHeight="1" x14ac:dyDescent="0.35">
      <c r="A1139" s="5"/>
      <c r="B1139" s="20"/>
      <c r="C1139" s="6"/>
      <c r="D1139" s="6"/>
      <c r="E1139" s="11"/>
      <c r="F1139" s="19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25.5" customHeight="1" x14ac:dyDescent="0.35">
      <c r="A1140" s="5"/>
      <c r="B1140" s="20"/>
      <c r="C1140" s="6"/>
      <c r="D1140" s="6"/>
      <c r="E1140" s="11"/>
      <c r="F1140" s="19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25.5" customHeight="1" x14ac:dyDescent="0.35">
      <c r="A1141" s="5"/>
      <c r="B1141" s="20"/>
      <c r="C1141" s="6"/>
      <c r="D1141" s="6"/>
      <c r="E1141" s="11"/>
      <c r="F1141" s="19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25.5" customHeight="1" x14ac:dyDescent="0.35">
      <c r="A1142" s="5"/>
      <c r="B1142" s="20"/>
      <c r="C1142" s="6"/>
      <c r="D1142" s="6"/>
      <c r="E1142" s="11"/>
      <c r="F1142" s="19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25.5" customHeight="1" x14ac:dyDescent="0.35">
      <c r="A1143" s="5"/>
      <c r="B1143" s="20"/>
      <c r="C1143" s="6"/>
      <c r="D1143" s="6"/>
      <c r="E1143" s="11"/>
      <c r="F1143" s="19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25.5" customHeight="1" x14ac:dyDescent="0.35">
      <c r="A1144" s="5"/>
      <c r="B1144" s="20"/>
      <c r="C1144" s="6"/>
      <c r="D1144" s="6"/>
      <c r="E1144" s="11"/>
      <c r="F1144" s="19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25.5" customHeight="1" x14ac:dyDescent="0.35">
      <c r="A1145" s="5"/>
      <c r="B1145" s="20"/>
      <c r="C1145" s="6"/>
      <c r="D1145" s="6"/>
      <c r="E1145" s="11"/>
      <c r="F1145" s="19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25.5" customHeight="1" x14ac:dyDescent="0.35">
      <c r="A1146" s="5"/>
      <c r="B1146" s="20"/>
      <c r="C1146" s="6"/>
      <c r="D1146" s="6"/>
      <c r="E1146" s="11"/>
      <c r="F1146" s="19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25.5" customHeight="1" x14ac:dyDescent="0.35">
      <c r="A1147" s="5"/>
      <c r="B1147" s="20"/>
      <c r="C1147" s="6"/>
      <c r="D1147" s="6"/>
      <c r="E1147" s="11"/>
      <c r="F1147" s="19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25.5" customHeight="1" x14ac:dyDescent="0.35">
      <c r="A1148" s="5"/>
      <c r="B1148" s="20"/>
      <c r="C1148" s="6"/>
      <c r="D1148" s="6"/>
      <c r="E1148" s="11"/>
      <c r="F1148" s="19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25.5" customHeight="1" x14ac:dyDescent="0.35">
      <c r="A1149" s="5"/>
      <c r="B1149" s="20"/>
      <c r="C1149" s="6"/>
      <c r="D1149" s="6"/>
      <c r="E1149" s="11"/>
      <c r="F1149" s="19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25.5" customHeight="1" x14ac:dyDescent="0.35">
      <c r="A1150" s="5"/>
      <c r="B1150" s="20"/>
      <c r="C1150" s="6"/>
      <c r="D1150" s="6"/>
      <c r="E1150" s="11"/>
      <c r="F1150" s="19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25.5" customHeight="1" x14ac:dyDescent="0.35">
      <c r="A1151" s="5"/>
      <c r="B1151" s="20"/>
      <c r="C1151" s="6"/>
      <c r="D1151" s="6"/>
      <c r="E1151" s="11"/>
      <c r="F1151" s="19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25.5" customHeight="1" x14ac:dyDescent="0.35">
      <c r="A1152" s="5"/>
      <c r="B1152" s="20"/>
      <c r="C1152" s="6"/>
      <c r="D1152" s="6"/>
      <c r="E1152" s="11"/>
      <c r="F1152" s="19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25.5" customHeight="1" x14ac:dyDescent="0.35">
      <c r="A1153" s="5"/>
      <c r="B1153" s="20"/>
      <c r="C1153" s="6"/>
      <c r="D1153" s="6"/>
      <c r="E1153" s="11"/>
      <c r="F1153" s="19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25.5" customHeight="1" x14ac:dyDescent="0.35">
      <c r="A1154" s="5"/>
      <c r="B1154" s="20"/>
      <c r="C1154" s="6"/>
      <c r="D1154" s="6"/>
      <c r="E1154" s="11"/>
      <c r="F1154" s="19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25.5" customHeight="1" x14ac:dyDescent="0.35">
      <c r="A1155" s="5"/>
      <c r="B1155" s="20"/>
      <c r="C1155" s="6"/>
      <c r="D1155" s="6"/>
      <c r="E1155" s="11"/>
      <c r="F1155" s="19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25.5" customHeight="1" x14ac:dyDescent="0.35">
      <c r="A1156" s="5"/>
      <c r="B1156" s="20"/>
      <c r="C1156" s="6"/>
      <c r="D1156" s="6"/>
      <c r="E1156" s="11"/>
      <c r="F1156" s="19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25.5" customHeight="1" x14ac:dyDescent="0.35">
      <c r="A1157" s="5"/>
      <c r="B1157" s="20"/>
      <c r="C1157" s="6"/>
      <c r="D1157" s="6"/>
      <c r="E1157" s="11"/>
      <c r="F1157" s="19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25.5" customHeight="1" x14ac:dyDescent="0.35">
      <c r="A1158" s="5"/>
      <c r="B1158" s="20"/>
      <c r="C1158" s="6"/>
      <c r="D1158" s="6"/>
      <c r="E1158" s="11"/>
      <c r="F1158" s="19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25.5" customHeight="1" x14ac:dyDescent="0.35">
      <c r="A1159" s="5"/>
      <c r="B1159" s="20"/>
      <c r="C1159" s="6"/>
      <c r="D1159" s="6"/>
      <c r="E1159" s="11"/>
      <c r="F1159" s="19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25.5" customHeight="1" x14ac:dyDescent="0.35">
      <c r="A1160" s="5"/>
      <c r="B1160" s="20"/>
      <c r="C1160" s="6"/>
      <c r="D1160" s="6"/>
      <c r="E1160" s="11"/>
      <c r="F1160" s="19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25.5" customHeight="1" x14ac:dyDescent="0.35">
      <c r="A1161" s="5"/>
      <c r="B1161" s="20"/>
      <c r="C1161" s="6"/>
      <c r="D1161" s="6"/>
      <c r="E1161" s="11"/>
      <c r="F1161" s="19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25.5" customHeight="1" x14ac:dyDescent="0.35">
      <c r="A1162" s="5"/>
      <c r="B1162" s="20"/>
      <c r="C1162" s="6"/>
      <c r="D1162" s="6"/>
      <c r="E1162" s="11"/>
      <c r="F1162" s="19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25.5" customHeight="1" x14ac:dyDescent="0.35">
      <c r="A1163" s="5"/>
      <c r="B1163" s="20"/>
      <c r="C1163" s="6"/>
      <c r="D1163" s="6"/>
      <c r="E1163" s="11"/>
      <c r="F1163" s="19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25.5" customHeight="1" x14ac:dyDescent="0.35">
      <c r="A1164" s="5"/>
      <c r="B1164" s="20"/>
      <c r="C1164" s="6"/>
      <c r="D1164" s="6"/>
      <c r="E1164" s="11"/>
      <c r="F1164" s="19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25.5" customHeight="1" x14ac:dyDescent="0.35">
      <c r="A1165" s="5"/>
      <c r="B1165" s="20"/>
      <c r="C1165" s="6"/>
      <c r="D1165" s="6"/>
      <c r="E1165" s="11"/>
      <c r="F1165" s="19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25.5" customHeight="1" x14ac:dyDescent="0.35">
      <c r="A1166" s="5"/>
      <c r="B1166" s="20"/>
      <c r="C1166" s="6"/>
      <c r="D1166" s="6"/>
      <c r="E1166" s="11"/>
      <c r="F1166" s="19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25.5" customHeight="1" x14ac:dyDescent="0.35">
      <c r="A1167" s="5"/>
      <c r="B1167" s="20"/>
      <c r="C1167" s="6"/>
      <c r="D1167" s="6"/>
      <c r="E1167" s="11"/>
      <c r="F1167" s="19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25.5" customHeight="1" x14ac:dyDescent="0.35">
      <c r="A1168" s="5"/>
      <c r="B1168" s="20"/>
      <c r="C1168" s="6"/>
      <c r="D1168" s="6"/>
      <c r="E1168" s="11"/>
      <c r="F1168" s="19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25.5" customHeight="1" x14ac:dyDescent="0.35">
      <c r="A1169" s="5"/>
      <c r="B1169" s="20"/>
      <c r="C1169" s="6"/>
      <c r="D1169" s="6"/>
      <c r="E1169" s="11"/>
      <c r="F1169" s="19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25.5" customHeight="1" x14ac:dyDescent="0.35">
      <c r="A1170" s="5"/>
      <c r="B1170" s="20"/>
      <c r="C1170" s="6"/>
      <c r="D1170" s="6"/>
      <c r="E1170" s="11"/>
      <c r="F1170" s="19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25.5" customHeight="1" x14ac:dyDescent="0.35">
      <c r="A1171" s="5"/>
      <c r="B1171" s="20"/>
      <c r="C1171" s="6"/>
      <c r="D1171" s="6"/>
      <c r="E1171" s="11"/>
      <c r="F1171" s="19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25.5" customHeight="1" x14ac:dyDescent="0.35">
      <c r="A1172" s="5"/>
      <c r="B1172" s="20"/>
      <c r="C1172" s="6"/>
      <c r="D1172" s="6"/>
      <c r="E1172" s="11"/>
      <c r="F1172" s="19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25.5" customHeight="1" x14ac:dyDescent="0.35">
      <c r="A1173" s="5"/>
      <c r="B1173" s="20"/>
      <c r="C1173" s="6"/>
      <c r="D1173" s="6"/>
      <c r="E1173" s="11"/>
      <c r="F1173" s="19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25.5" customHeight="1" x14ac:dyDescent="0.35">
      <c r="A1174" s="5"/>
      <c r="B1174" s="20"/>
      <c r="C1174" s="6"/>
      <c r="D1174" s="6"/>
      <c r="E1174" s="11"/>
      <c r="F1174" s="19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25.5" customHeight="1" x14ac:dyDescent="0.35">
      <c r="A1175" s="5"/>
      <c r="B1175" s="20"/>
      <c r="C1175" s="6"/>
      <c r="D1175" s="6"/>
      <c r="E1175" s="11"/>
      <c r="F1175" s="19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25.5" customHeight="1" x14ac:dyDescent="0.35">
      <c r="A1176" s="5"/>
      <c r="B1176" s="20"/>
      <c r="C1176" s="6"/>
      <c r="D1176" s="6"/>
      <c r="E1176" s="11"/>
      <c r="F1176" s="19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25.5" customHeight="1" x14ac:dyDescent="0.35">
      <c r="A1177" s="5"/>
      <c r="B1177" s="20"/>
      <c r="C1177" s="6"/>
      <c r="D1177" s="6"/>
      <c r="E1177" s="11"/>
      <c r="F1177" s="19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25.5" customHeight="1" x14ac:dyDescent="0.35">
      <c r="A1178" s="5"/>
      <c r="B1178" s="20"/>
      <c r="C1178" s="6"/>
      <c r="D1178" s="6"/>
      <c r="E1178" s="11"/>
      <c r="F1178" s="19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25.5" customHeight="1" x14ac:dyDescent="0.35">
      <c r="A1179" s="5"/>
      <c r="B1179" s="20"/>
      <c r="C1179" s="6"/>
      <c r="D1179" s="6"/>
      <c r="E1179" s="11"/>
      <c r="F1179" s="19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25.5" customHeight="1" x14ac:dyDescent="0.35">
      <c r="A1180" s="5"/>
      <c r="B1180" s="20"/>
      <c r="C1180" s="6"/>
      <c r="D1180" s="6"/>
      <c r="E1180" s="11"/>
      <c r="F1180" s="19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25.5" customHeight="1" x14ac:dyDescent="0.35">
      <c r="A1181" s="5"/>
      <c r="B1181" s="20"/>
      <c r="C1181" s="6"/>
      <c r="D1181" s="6"/>
      <c r="E1181" s="11"/>
      <c r="F1181" s="19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25.5" customHeight="1" x14ac:dyDescent="0.35">
      <c r="A1182" s="5"/>
      <c r="B1182" s="20"/>
      <c r="C1182" s="6"/>
      <c r="D1182" s="6"/>
      <c r="E1182" s="11"/>
      <c r="F1182" s="19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25.5" customHeight="1" x14ac:dyDescent="0.35">
      <c r="A1183" s="5"/>
      <c r="B1183" s="20"/>
      <c r="C1183" s="6"/>
      <c r="D1183" s="6"/>
      <c r="E1183" s="11"/>
      <c r="F1183" s="19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25.5" customHeight="1" x14ac:dyDescent="0.35">
      <c r="A1184" s="5"/>
      <c r="B1184" s="20"/>
      <c r="C1184" s="6"/>
      <c r="D1184" s="6"/>
      <c r="E1184" s="11"/>
      <c r="F1184" s="19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25.5" customHeight="1" x14ac:dyDescent="0.35">
      <c r="A1185" s="5"/>
      <c r="B1185" s="20"/>
      <c r="C1185" s="6"/>
      <c r="D1185" s="6"/>
      <c r="E1185" s="11"/>
      <c r="F1185" s="19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25.5" customHeight="1" x14ac:dyDescent="0.35">
      <c r="A1186" s="5"/>
      <c r="B1186" s="20"/>
      <c r="C1186" s="6"/>
      <c r="D1186" s="6"/>
      <c r="E1186" s="11"/>
      <c r="F1186" s="19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25.5" customHeight="1" x14ac:dyDescent="0.35">
      <c r="A1187" s="5"/>
      <c r="B1187" s="20"/>
      <c r="C1187" s="6"/>
      <c r="D1187" s="6"/>
      <c r="E1187" s="11"/>
      <c r="F1187" s="19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25.5" customHeight="1" x14ac:dyDescent="0.35">
      <c r="A1188" s="5"/>
      <c r="B1188" s="20"/>
      <c r="C1188" s="6"/>
      <c r="D1188" s="6"/>
      <c r="E1188" s="11"/>
      <c r="F1188" s="19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25.5" customHeight="1" x14ac:dyDescent="0.35">
      <c r="A1189" s="5"/>
      <c r="B1189" s="20"/>
      <c r="C1189" s="6"/>
      <c r="D1189" s="6"/>
      <c r="E1189" s="11"/>
      <c r="F1189" s="19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25.5" customHeight="1" x14ac:dyDescent="0.35">
      <c r="A1190" s="5"/>
      <c r="B1190" s="20"/>
      <c r="C1190" s="6"/>
      <c r="D1190" s="6"/>
      <c r="E1190" s="11"/>
      <c r="F1190" s="19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25.5" customHeight="1" x14ac:dyDescent="0.35">
      <c r="A1191" s="5"/>
      <c r="B1191" s="20"/>
      <c r="C1191" s="6"/>
      <c r="D1191" s="6"/>
      <c r="E1191" s="11"/>
      <c r="F1191" s="19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25.5" customHeight="1" x14ac:dyDescent="0.35">
      <c r="A1192" s="5"/>
      <c r="B1192" s="20"/>
      <c r="C1192" s="6"/>
      <c r="D1192" s="6"/>
      <c r="E1192" s="11"/>
      <c r="F1192" s="19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25.5" customHeight="1" x14ac:dyDescent="0.35">
      <c r="A1193" s="5"/>
      <c r="B1193" s="20"/>
      <c r="C1193" s="6"/>
      <c r="D1193" s="6"/>
      <c r="E1193" s="11"/>
      <c r="F1193" s="19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25.5" customHeight="1" x14ac:dyDescent="0.35">
      <c r="A1194" s="5"/>
      <c r="B1194" s="20"/>
      <c r="C1194" s="6"/>
      <c r="D1194" s="6"/>
      <c r="E1194" s="11"/>
      <c r="F1194" s="19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25.5" customHeight="1" x14ac:dyDescent="0.35">
      <c r="A1195" s="5"/>
      <c r="B1195" s="20"/>
      <c r="C1195" s="6"/>
      <c r="D1195" s="6"/>
      <c r="E1195" s="11"/>
      <c r="F1195" s="19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25.5" customHeight="1" x14ac:dyDescent="0.35">
      <c r="A1196" s="5"/>
      <c r="B1196" s="20"/>
      <c r="C1196" s="6"/>
      <c r="D1196" s="6"/>
      <c r="E1196" s="11"/>
      <c r="F1196" s="19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25.5" customHeight="1" x14ac:dyDescent="0.35">
      <c r="A1197" s="5"/>
      <c r="B1197" s="20"/>
      <c r="C1197" s="6"/>
      <c r="D1197" s="6"/>
      <c r="E1197" s="11"/>
      <c r="F1197" s="19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25.5" customHeight="1" x14ac:dyDescent="0.35">
      <c r="A1198" s="5"/>
      <c r="B1198" s="20"/>
      <c r="C1198" s="6"/>
      <c r="D1198" s="6"/>
      <c r="E1198" s="11"/>
      <c r="F1198" s="19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25.5" customHeight="1" x14ac:dyDescent="0.35">
      <c r="A1199" s="5"/>
      <c r="B1199" s="20"/>
      <c r="C1199" s="6"/>
      <c r="D1199" s="6"/>
      <c r="E1199" s="11"/>
      <c r="F1199" s="19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25.5" customHeight="1" x14ac:dyDescent="0.35">
      <c r="A1200" s="5"/>
      <c r="B1200" s="20"/>
      <c r="C1200" s="6"/>
      <c r="D1200" s="6"/>
      <c r="E1200" s="11"/>
      <c r="F1200" s="19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25.5" customHeight="1" x14ac:dyDescent="0.35">
      <c r="A1201" s="5"/>
      <c r="B1201" s="20"/>
      <c r="C1201" s="6"/>
      <c r="D1201" s="6"/>
      <c r="E1201" s="11"/>
      <c r="F1201" s="19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25.5" customHeight="1" x14ac:dyDescent="0.35">
      <c r="A1202" s="5"/>
      <c r="B1202" s="20"/>
      <c r="C1202" s="6"/>
      <c r="D1202" s="6"/>
      <c r="E1202" s="11"/>
      <c r="F1202" s="19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25.5" customHeight="1" x14ac:dyDescent="0.35">
      <c r="A1203" s="5"/>
      <c r="B1203" s="20"/>
      <c r="C1203" s="6"/>
      <c r="D1203" s="6"/>
      <c r="E1203" s="11"/>
      <c r="F1203" s="19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25.5" customHeight="1" x14ac:dyDescent="0.35">
      <c r="A1204" s="5"/>
      <c r="B1204" s="20"/>
      <c r="C1204" s="6"/>
      <c r="D1204" s="6"/>
      <c r="E1204" s="11"/>
      <c r="F1204" s="19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25.5" customHeight="1" x14ac:dyDescent="0.35">
      <c r="A1205" s="5"/>
      <c r="B1205" s="20"/>
      <c r="C1205" s="6"/>
      <c r="D1205" s="6"/>
      <c r="E1205" s="11"/>
      <c r="F1205" s="19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25.5" customHeight="1" x14ac:dyDescent="0.35">
      <c r="A1206" s="5"/>
      <c r="B1206" s="20"/>
      <c r="C1206" s="6"/>
      <c r="D1206" s="6"/>
      <c r="E1206" s="11"/>
      <c r="F1206" s="19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25.5" customHeight="1" x14ac:dyDescent="0.35">
      <c r="A1207" s="5"/>
      <c r="B1207" s="20"/>
      <c r="C1207" s="6"/>
      <c r="D1207" s="6"/>
      <c r="E1207" s="11"/>
      <c r="F1207" s="19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25.5" customHeight="1" x14ac:dyDescent="0.35">
      <c r="A1208" s="5"/>
      <c r="B1208" s="20"/>
      <c r="C1208" s="6"/>
      <c r="D1208" s="6"/>
      <c r="E1208" s="11"/>
      <c r="F1208" s="19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25.5" customHeight="1" x14ac:dyDescent="0.35">
      <c r="A1209" s="5"/>
      <c r="B1209" s="20"/>
      <c r="C1209" s="6"/>
      <c r="D1209" s="6"/>
      <c r="E1209" s="11"/>
      <c r="F1209" s="19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25.5" customHeight="1" x14ac:dyDescent="0.35">
      <c r="A1210" s="5"/>
      <c r="B1210" s="20"/>
      <c r="C1210" s="6"/>
      <c r="D1210" s="6"/>
      <c r="E1210" s="11"/>
      <c r="F1210" s="19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25.5" customHeight="1" x14ac:dyDescent="0.35">
      <c r="A1211" s="5"/>
      <c r="B1211" s="20"/>
      <c r="C1211" s="6"/>
      <c r="D1211" s="6"/>
      <c r="E1211" s="11"/>
      <c r="F1211" s="19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25.5" customHeight="1" x14ac:dyDescent="0.35">
      <c r="A1212" s="5"/>
      <c r="B1212" s="20"/>
      <c r="C1212" s="6"/>
      <c r="D1212" s="6"/>
      <c r="E1212" s="11"/>
      <c r="F1212" s="19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25.5" customHeight="1" x14ac:dyDescent="0.35">
      <c r="A1213" s="5"/>
      <c r="B1213" s="20"/>
      <c r="C1213" s="6"/>
      <c r="D1213" s="6"/>
      <c r="E1213" s="11"/>
      <c r="F1213" s="19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25.5" customHeight="1" x14ac:dyDescent="0.35">
      <c r="A1214" s="5"/>
      <c r="B1214" s="20"/>
      <c r="C1214" s="6"/>
      <c r="D1214" s="6"/>
      <c r="E1214" s="11"/>
      <c r="F1214" s="19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25.5" customHeight="1" x14ac:dyDescent="0.35">
      <c r="A1215" s="5"/>
      <c r="B1215" s="20"/>
      <c r="C1215" s="6"/>
      <c r="D1215" s="6"/>
      <c r="E1215" s="11"/>
      <c r="F1215" s="19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25.5" customHeight="1" x14ac:dyDescent="0.35">
      <c r="A1216" s="5"/>
      <c r="B1216" s="20"/>
      <c r="C1216" s="6"/>
      <c r="D1216" s="6"/>
      <c r="E1216" s="11"/>
      <c r="F1216" s="19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25.5" customHeight="1" x14ac:dyDescent="0.35">
      <c r="A1217" s="5"/>
      <c r="B1217" s="20"/>
      <c r="C1217" s="6"/>
      <c r="D1217" s="6"/>
      <c r="E1217" s="11"/>
      <c r="F1217" s="19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25.5" customHeight="1" x14ac:dyDescent="0.35">
      <c r="A1218" s="5"/>
      <c r="B1218" s="20"/>
      <c r="C1218" s="6"/>
      <c r="D1218" s="6"/>
      <c r="E1218" s="11"/>
      <c r="F1218" s="19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25.5" customHeight="1" x14ac:dyDescent="0.35">
      <c r="A1219" s="5"/>
      <c r="B1219" s="20"/>
      <c r="C1219" s="6"/>
      <c r="D1219" s="6"/>
      <c r="E1219" s="11"/>
      <c r="F1219" s="19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25.5" customHeight="1" x14ac:dyDescent="0.35">
      <c r="A1220" s="5"/>
      <c r="B1220" s="20"/>
      <c r="C1220" s="6"/>
      <c r="D1220" s="6"/>
      <c r="E1220" s="11"/>
      <c r="F1220" s="19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25.5" customHeight="1" x14ac:dyDescent="0.35">
      <c r="A1221" s="5"/>
      <c r="B1221" s="20"/>
      <c r="C1221" s="6"/>
      <c r="D1221" s="6"/>
      <c r="E1221" s="11"/>
      <c r="F1221" s="19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25.5" customHeight="1" x14ac:dyDescent="0.35">
      <c r="A1222" s="5"/>
      <c r="B1222" s="20"/>
      <c r="C1222" s="6"/>
      <c r="D1222" s="6"/>
      <c r="E1222" s="11"/>
      <c r="F1222" s="19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25.5" customHeight="1" x14ac:dyDescent="0.35">
      <c r="A1223" s="5"/>
      <c r="B1223" s="20"/>
      <c r="C1223" s="6"/>
      <c r="D1223" s="6"/>
      <c r="E1223" s="11"/>
      <c r="F1223" s="19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25.5" customHeight="1" x14ac:dyDescent="0.35">
      <c r="A1224" s="5"/>
      <c r="B1224" s="20"/>
      <c r="C1224" s="6"/>
      <c r="D1224" s="6"/>
      <c r="E1224" s="11"/>
      <c r="F1224" s="19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25.5" customHeight="1" x14ac:dyDescent="0.35">
      <c r="A1225" s="5"/>
      <c r="B1225" s="20"/>
      <c r="C1225" s="6"/>
      <c r="D1225" s="6"/>
      <c r="E1225" s="11"/>
      <c r="F1225" s="19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25.5" customHeight="1" x14ac:dyDescent="0.35">
      <c r="A1226" s="5"/>
      <c r="B1226" s="20"/>
      <c r="C1226" s="6"/>
      <c r="D1226" s="6"/>
      <c r="E1226" s="11"/>
      <c r="F1226" s="19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25.5" customHeight="1" x14ac:dyDescent="0.35">
      <c r="A1227" s="5"/>
      <c r="B1227" s="20"/>
      <c r="C1227" s="6"/>
      <c r="D1227" s="6"/>
      <c r="E1227" s="11"/>
      <c r="F1227" s="19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25.5" customHeight="1" x14ac:dyDescent="0.35">
      <c r="A1228" s="5"/>
      <c r="B1228" s="20"/>
      <c r="C1228" s="6"/>
      <c r="D1228" s="6"/>
      <c r="E1228" s="11"/>
      <c r="F1228" s="19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25.5" customHeight="1" x14ac:dyDescent="0.35">
      <c r="A1229" s="5"/>
      <c r="B1229" s="20"/>
      <c r="C1229" s="6"/>
      <c r="D1229" s="6"/>
      <c r="E1229" s="11"/>
      <c r="F1229" s="19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25.5" customHeight="1" x14ac:dyDescent="0.35">
      <c r="A1230" s="5"/>
      <c r="B1230" s="20"/>
      <c r="C1230" s="6"/>
      <c r="D1230" s="6"/>
      <c r="E1230" s="11"/>
      <c r="F1230" s="19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25.5" customHeight="1" x14ac:dyDescent="0.35">
      <c r="A1231" s="5"/>
      <c r="B1231" s="20"/>
      <c r="C1231" s="6"/>
      <c r="D1231" s="6"/>
      <c r="E1231" s="11"/>
      <c r="F1231" s="19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25.5" customHeight="1" x14ac:dyDescent="0.35">
      <c r="A1232" s="5"/>
      <c r="B1232" s="20"/>
      <c r="C1232" s="6"/>
      <c r="D1232" s="6"/>
      <c r="E1232" s="11"/>
      <c r="F1232" s="19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25.5" customHeight="1" x14ac:dyDescent="0.35">
      <c r="A1233" s="5"/>
      <c r="B1233" s="20"/>
      <c r="C1233" s="6"/>
      <c r="D1233" s="6"/>
      <c r="E1233" s="11"/>
      <c r="F1233" s="19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25.5" customHeight="1" x14ac:dyDescent="0.35">
      <c r="A1234" s="5"/>
      <c r="B1234" s="20"/>
      <c r="C1234" s="6"/>
      <c r="D1234" s="6"/>
      <c r="E1234" s="11"/>
      <c r="F1234" s="19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25.5" customHeight="1" x14ac:dyDescent="0.35">
      <c r="A1235" s="5"/>
      <c r="B1235" s="20"/>
      <c r="C1235" s="6"/>
      <c r="D1235" s="6"/>
      <c r="E1235" s="11"/>
      <c r="F1235" s="19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25.5" customHeight="1" x14ac:dyDescent="0.35">
      <c r="A1236" s="5"/>
      <c r="B1236" s="20"/>
      <c r="C1236" s="6"/>
      <c r="D1236" s="6"/>
      <c r="E1236" s="11"/>
      <c r="F1236" s="19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25.5" customHeight="1" x14ac:dyDescent="0.35">
      <c r="A1237" s="5"/>
      <c r="B1237" s="20"/>
      <c r="C1237" s="6"/>
      <c r="D1237" s="6"/>
      <c r="E1237" s="11"/>
      <c r="F1237" s="19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</sheetData>
  <conditionalFormatting sqref="A9:F10 H9:Z10">
    <cfRule type="expression" dxfId="3" priority="1">
      <formula>AND($B9&gt;0,ISNUMBER($B9))</formula>
    </cfRule>
  </conditionalFormatting>
  <conditionalFormatting sqref="G10">
    <cfRule type="expression" dxfId="2" priority="2">
      <formula>AND($B10&gt;0,ISNUMBER($B10))</formula>
    </cfRule>
  </conditionalFormatting>
  <conditionalFormatting sqref="G9">
    <cfRule type="expression" dxfId="1" priority="3">
      <formula>AND($B9&gt;0,ISNUMBER($B9))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00"/>
  <sheetViews>
    <sheetView tabSelected="1" topLeftCell="B28" workbookViewId="0">
      <selection activeCell="B31" sqref="B31"/>
    </sheetView>
  </sheetViews>
  <sheetFormatPr defaultColWidth="14.453125" defaultRowHeight="15" customHeight="1" x14ac:dyDescent="0.35"/>
  <cols>
    <col min="1" max="1" width="2.54296875" customWidth="1"/>
    <col min="2" max="2" width="93.54296875" customWidth="1"/>
    <col min="3" max="3" width="70.54296875" customWidth="1"/>
    <col min="4" max="26" width="9.08984375" customWidth="1"/>
  </cols>
  <sheetData>
    <row r="1" spans="1:26" ht="18.75" customHeight="1" x14ac:dyDescent="0.35">
      <c r="A1" s="1"/>
      <c r="B1" s="1"/>
      <c r="C1" s="1"/>
      <c r="D1" s="2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1"/>
      <c r="B2" s="3" t="str">
        <f>'GA Traffic Analysis'!B2</f>
        <v>Washington Diamond</v>
      </c>
      <c r="C2" s="1"/>
      <c r="D2" s="2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 x14ac:dyDescent="0.35">
      <c r="A3" s="1"/>
      <c r="B3" s="4" t="s">
        <v>1042</v>
      </c>
      <c r="C3" s="1"/>
      <c r="D3" s="2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" customHeight="1" x14ac:dyDescent="0.35">
      <c r="A4" s="1"/>
      <c r="B4" s="1"/>
      <c r="C4" s="1"/>
      <c r="D4" s="2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22"/>
      <c r="B5" s="7" t="s">
        <v>1043</v>
      </c>
      <c r="C5" s="7" t="s">
        <v>1044</v>
      </c>
      <c r="D5" s="6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5.5" customHeight="1" x14ac:dyDescent="0.35">
      <c r="A6" s="22"/>
      <c r="B6" s="6" t="s">
        <v>10</v>
      </c>
      <c r="C6" s="6" t="s">
        <v>1045</v>
      </c>
      <c r="D6" s="6" t="s">
        <v>1357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5.5" customHeight="1" x14ac:dyDescent="0.35">
      <c r="A7" s="22"/>
      <c r="B7" s="6" t="s">
        <v>14</v>
      </c>
      <c r="C7" s="6" t="s">
        <v>1046</v>
      </c>
      <c r="D7" s="6" t="s">
        <v>1357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5.5" hidden="1" customHeight="1" x14ac:dyDescent="0.35">
      <c r="A8" s="22"/>
      <c r="B8" s="6" t="s">
        <v>15</v>
      </c>
      <c r="C8" s="6" t="s">
        <v>15</v>
      </c>
      <c r="D8" s="6">
        <v>200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5.5" hidden="1" customHeight="1" x14ac:dyDescent="0.35">
      <c r="A9" s="22"/>
      <c r="B9" s="6" t="s">
        <v>16</v>
      </c>
      <c r="C9" s="6" t="s">
        <v>16</v>
      </c>
      <c r="D9" s="6">
        <v>200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5.5" customHeight="1" x14ac:dyDescent="0.35">
      <c r="A10" s="22"/>
      <c r="B10" s="6" t="s">
        <v>17</v>
      </c>
      <c r="C10" s="6" t="s">
        <v>1047</v>
      </c>
      <c r="D10" s="6" t="s">
        <v>1358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5.5" customHeight="1" x14ac:dyDescent="0.35">
      <c r="A11" s="22"/>
      <c r="B11" s="6" t="s">
        <v>18</v>
      </c>
      <c r="C11" s="6" t="s">
        <v>1048</v>
      </c>
      <c r="D11" s="6" t="s">
        <v>1357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5.5" customHeight="1" x14ac:dyDescent="0.35">
      <c r="A12" s="22"/>
      <c r="B12" s="6" t="s">
        <v>19</v>
      </c>
      <c r="C12" s="6" t="s">
        <v>1049</v>
      </c>
      <c r="D12" s="6" t="s">
        <v>1357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5.5" customHeight="1" x14ac:dyDescent="0.35">
      <c r="A13" s="22"/>
      <c r="B13" s="6" t="s">
        <v>20</v>
      </c>
      <c r="C13" s="6" t="s">
        <v>1050</v>
      </c>
      <c r="D13" s="6" t="s">
        <v>1357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5.5" customHeight="1" x14ac:dyDescent="0.35">
      <c r="A14" s="22"/>
      <c r="B14" s="6" t="s">
        <v>21</v>
      </c>
      <c r="C14" s="6" t="s">
        <v>1051</v>
      </c>
      <c r="D14" s="6" t="s">
        <v>1357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5.5" customHeight="1" x14ac:dyDescent="0.35">
      <c r="A15" s="22"/>
      <c r="B15" s="6" t="s">
        <v>22</v>
      </c>
      <c r="C15" s="6" t="s">
        <v>1052</v>
      </c>
      <c r="D15" s="6" t="s">
        <v>1357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5.5" customHeight="1" x14ac:dyDescent="0.35">
      <c r="A16" s="22"/>
      <c r="B16" s="6" t="s">
        <v>23</v>
      </c>
      <c r="C16" s="6" t="s">
        <v>1047</v>
      </c>
      <c r="D16" s="6" t="s">
        <v>1357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5.5" customHeight="1" x14ac:dyDescent="0.35">
      <c r="A17" s="22"/>
      <c r="B17" s="6" t="s">
        <v>24</v>
      </c>
      <c r="C17" s="6" t="s">
        <v>1053</v>
      </c>
      <c r="D17" s="6" t="s">
        <v>1357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5.5" customHeight="1" x14ac:dyDescent="0.35">
      <c r="A18" s="22"/>
      <c r="B18" s="6" t="s">
        <v>25</v>
      </c>
      <c r="C18" s="6" t="s">
        <v>1054</v>
      </c>
      <c r="D18" s="6" t="s">
        <v>1358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5.5" customHeight="1" x14ac:dyDescent="0.35">
      <c r="A19" s="22"/>
      <c r="B19" s="6" t="s">
        <v>26</v>
      </c>
      <c r="C19" s="6" t="s">
        <v>1055</v>
      </c>
      <c r="D19" s="6" t="s">
        <v>1357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5.5" customHeight="1" x14ac:dyDescent="0.35">
      <c r="A20" s="22"/>
      <c r="B20" s="6" t="s">
        <v>28</v>
      </c>
      <c r="C20" s="6" t="s">
        <v>11</v>
      </c>
      <c r="D20" s="6" t="s">
        <v>1357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5.5" customHeight="1" x14ac:dyDescent="0.35">
      <c r="A21" s="22"/>
      <c r="B21" s="6" t="s">
        <v>29</v>
      </c>
      <c r="C21" s="6" t="s">
        <v>1056</v>
      </c>
      <c r="D21" s="6" t="s">
        <v>1357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5.5" customHeight="1" x14ac:dyDescent="0.35">
      <c r="A22" s="22"/>
      <c r="B22" s="6" t="s">
        <v>30</v>
      </c>
      <c r="C22" s="6" t="s">
        <v>1057</v>
      </c>
      <c r="D22" s="6" t="s">
        <v>1357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5.5" customHeight="1" x14ac:dyDescent="0.35">
      <c r="A23" s="22"/>
      <c r="B23" s="6" t="s">
        <v>31</v>
      </c>
      <c r="C23" s="6" t="s">
        <v>1058</v>
      </c>
      <c r="D23" s="6" t="s">
        <v>1357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5.5" hidden="1" customHeight="1" x14ac:dyDescent="0.35">
      <c r="A24" s="22"/>
      <c r="B24" s="6" t="s">
        <v>32</v>
      </c>
      <c r="C24" s="6" t="s">
        <v>1059</v>
      </c>
      <c r="D24" s="6">
        <v>200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5.5" hidden="1" customHeight="1" x14ac:dyDescent="0.35">
      <c r="A25" s="22"/>
      <c r="B25" s="6" t="s">
        <v>33</v>
      </c>
      <c r="C25" s="6" t="s">
        <v>1060</v>
      </c>
      <c r="D25" s="6">
        <v>200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5.5" customHeight="1" x14ac:dyDescent="0.35">
      <c r="A26" s="22"/>
      <c r="B26" s="6" t="s">
        <v>34</v>
      </c>
      <c r="C26" s="6" t="s">
        <v>1061</v>
      </c>
      <c r="D26" s="6" t="s">
        <v>1357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5.5" customHeight="1" x14ac:dyDescent="0.35">
      <c r="A27" s="22"/>
      <c r="B27" s="6" t="s">
        <v>35</v>
      </c>
      <c r="C27" s="6" t="s">
        <v>1062</v>
      </c>
      <c r="D27" s="6" t="s">
        <v>1358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5.5" customHeight="1" x14ac:dyDescent="0.35">
      <c r="A28" s="22"/>
      <c r="B28" s="6" t="s">
        <v>36</v>
      </c>
      <c r="C28" s="6" t="s">
        <v>1063</v>
      </c>
      <c r="D28" s="6" t="s">
        <v>1357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5.5" customHeight="1" x14ac:dyDescent="0.35">
      <c r="A29" s="22"/>
      <c r="B29" s="6" t="s">
        <v>37</v>
      </c>
      <c r="C29" s="6" t="s">
        <v>1064</v>
      </c>
      <c r="D29" s="6" t="s">
        <v>1357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5.5" customHeight="1" x14ac:dyDescent="0.35">
      <c r="A30" s="22"/>
      <c r="B30" s="6" t="s">
        <v>38</v>
      </c>
      <c r="C30" s="6" t="s">
        <v>1065</v>
      </c>
      <c r="D30" s="6" t="s">
        <v>1357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5.5" customHeight="1" x14ac:dyDescent="0.35">
      <c r="A31" s="22"/>
      <c r="B31" s="6" t="s">
        <v>39</v>
      </c>
      <c r="C31" s="23" t="s">
        <v>1066</v>
      </c>
      <c r="D31" s="6" t="s">
        <v>1357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5.5" customHeight="1" x14ac:dyDescent="0.35">
      <c r="A32" s="22"/>
      <c r="B32" s="6" t="s">
        <v>40</v>
      </c>
      <c r="C32" s="6" t="s">
        <v>1067</v>
      </c>
      <c r="D32" s="6" t="s">
        <v>1357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5.5" customHeight="1" x14ac:dyDescent="0.35">
      <c r="A33" s="22"/>
      <c r="B33" s="6" t="s">
        <v>41</v>
      </c>
      <c r="C33" s="6" t="s">
        <v>1068</v>
      </c>
      <c r="D33" s="6" t="s">
        <v>1357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5.5" customHeight="1" x14ac:dyDescent="0.35">
      <c r="A34" s="22"/>
      <c r="B34" s="6" t="s">
        <v>42</v>
      </c>
      <c r="C34" s="6" t="s">
        <v>1069</v>
      </c>
      <c r="D34" s="6" t="s">
        <v>1357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5.5" hidden="1" customHeight="1" x14ac:dyDescent="0.35">
      <c r="A35" s="22"/>
      <c r="B35" s="6" t="s">
        <v>43</v>
      </c>
      <c r="C35" s="6" t="s">
        <v>1070</v>
      </c>
      <c r="D35" s="6">
        <v>200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5.5" customHeight="1" x14ac:dyDescent="0.35">
      <c r="A36" s="22"/>
      <c r="B36" s="6" t="s">
        <v>44</v>
      </c>
      <c r="C36" s="23" t="s">
        <v>1071</v>
      </c>
      <c r="D36" s="6" t="s">
        <v>1357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5.5" customHeight="1" x14ac:dyDescent="0.35">
      <c r="A37" s="22"/>
      <c r="B37" s="6" t="s">
        <v>45</v>
      </c>
      <c r="C37" s="6" t="s">
        <v>1072</v>
      </c>
      <c r="D37" s="6" t="s">
        <v>1358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5.5" hidden="1" customHeight="1" x14ac:dyDescent="0.35">
      <c r="A38" s="22"/>
      <c r="B38" s="6" t="s">
        <v>46</v>
      </c>
      <c r="C38" s="6" t="s">
        <v>1073</v>
      </c>
      <c r="D38" s="6">
        <v>200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5.5" customHeight="1" x14ac:dyDescent="0.35">
      <c r="A39" s="22"/>
      <c r="B39" s="6" t="s">
        <v>47</v>
      </c>
      <c r="C39" s="6" t="s">
        <v>1074</v>
      </c>
      <c r="D39" s="6" t="s">
        <v>1357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5.5" customHeight="1" x14ac:dyDescent="0.35">
      <c r="A40" s="22"/>
      <c r="B40" s="6" t="s">
        <v>48</v>
      </c>
      <c r="C40" s="6" t="s">
        <v>1075</v>
      </c>
      <c r="D40" s="6" t="s">
        <v>1357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5.5" customHeight="1" x14ac:dyDescent="0.35">
      <c r="A41" s="22"/>
      <c r="B41" s="6" t="s">
        <v>49</v>
      </c>
      <c r="C41" s="6" t="s">
        <v>1076</v>
      </c>
      <c r="D41" s="6" t="s">
        <v>1357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5.5" hidden="1" customHeight="1" x14ac:dyDescent="0.35">
      <c r="A42" s="22"/>
      <c r="B42" s="6" t="s">
        <v>51</v>
      </c>
      <c r="C42" s="6" t="s">
        <v>1077</v>
      </c>
      <c r="D42" s="6">
        <v>200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5.5" customHeight="1" x14ac:dyDescent="0.35">
      <c r="A43" s="22"/>
      <c r="B43" s="6" t="s">
        <v>52</v>
      </c>
      <c r="C43" s="6" t="s">
        <v>1078</v>
      </c>
      <c r="D43" s="6" t="s">
        <v>1357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5.5" customHeight="1" x14ac:dyDescent="0.35">
      <c r="A44" s="22"/>
      <c r="B44" s="6" t="s">
        <v>53</v>
      </c>
      <c r="C44" s="6" t="s">
        <v>1079</v>
      </c>
      <c r="D44" s="6" t="s">
        <v>1357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5.5" customHeight="1" x14ac:dyDescent="0.35">
      <c r="A45" s="22"/>
      <c r="B45" s="6" t="s">
        <v>54</v>
      </c>
      <c r="C45" s="6" t="s">
        <v>1080</v>
      </c>
      <c r="D45" s="6" t="s">
        <v>1357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5.5" hidden="1" customHeight="1" x14ac:dyDescent="0.35">
      <c r="A46" s="22"/>
      <c r="B46" s="6" t="s">
        <v>55</v>
      </c>
      <c r="C46" s="6" t="s">
        <v>1053</v>
      </c>
      <c r="D46" s="6">
        <v>200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5.5" customHeight="1" x14ac:dyDescent="0.35">
      <c r="A47" s="22"/>
      <c r="B47" s="6" t="s">
        <v>56</v>
      </c>
      <c r="C47" s="6" t="s">
        <v>1081</v>
      </c>
      <c r="D47" s="6" t="s">
        <v>1357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5.5" customHeight="1" x14ac:dyDescent="0.35">
      <c r="A48" s="22"/>
      <c r="B48" s="6" t="s">
        <v>57</v>
      </c>
      <c r="C48" s="6" t="s">
        <v>1082</v>
      </c>
      <c r="D48" s="6" t="s">
        <v>1357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5.5" hidden="1" customHeight="1" x14ac:dyDescent="0.35">
      <c r="A49" s="22"/>
      <c r="B49" s="6" t="s">
        <v>58</v>
      </c>
      <c r="C49" s="6" t="s">
        <v>58</v>
      </c>
      <c r="D49" s="6">
        <v>200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5.5" customHeight="1" x14ac:dyDescent="0.35">
      <c r="A50" s="22"/>
      <c r="B50" s="6" t="s">
        <v>59</v>
      </c>
      <c r="C50" s="6" t="s">
        <v>1083</v>
      </c>
      <c r="D50" s="6" t="s">
        <v>1357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5.5" customHeight="1" x14ac:dyDescent="0.35">
      <c r="A51" s="22"/>
      <c r="B51" s="6" t="s">
        <v>60</v>
      </c>
      <c r="C51" s="6" t="s">
        <v>1084</v>
      </c>
      <c r="D51" s="6" t="s">
        <v>1357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5.5" customHeight="1" x14ac:dyDescent="0.35">
      <c r="A52" s="22"/>
      <c r="B52" s="6" t="s">
        <v>61</v>
      </c>
      <c r="C52" s="6" t="s">
        <v>1085</v>
      </c>
      <c r="D52" s="6" t="s">
        <v>1357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5.5" customHeight="1" x14ac:dyDescent="0.35">
      <c r="A53" s="22"/>
      <c r="B53" s="6" t="s">
        <v>62</v>
      </c>
      <c r="C53" s="6" t="s">
        <v>1086</v>
      </c>
      <c r="D53" s="6" t="s">
        <v>1357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5.5" customHeight="1" x14ac:dyDescent="0.35">
      <c r="A54" s="22"/>
      <c r="B54" s="6" t="s">
        <v>63</v>
      </c>
      <c r="C54" s="6" t="s">
        <v>1087</v>
      </c>
      <c r="D54" s="6" t="s">
        <v>1357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5.5" customHeight="1" x14ac:dyDescent="0.35">
      <c r="A55" s="22"/>
      <c r="B55" s="6" t="s">
        <v>64</v>
      </c>
      <c r="C55" s="6" t="s">
        <v>1088</v>
      </c>
      <c r="D55" s="6" t="s">
        <v>1357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5.5" customHeight="1" x14ac:dyDescent="0.35">
      <c r="A56" s="22"/>
      <c r="B56" s="6" t="s">
        <v>65</v>
      </c>
      <c r="C56" s="6" t="s">
        <v>1089</v>
      </c>
      <c r="D56" s="6" t="s">
        <v>1358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5.5" customHeight="1" x14ac:dyDescent="0.35">
      <c r="A57" s="22"/>
      <c r="B57" s="6" t="s">
        <v>66</v>
      </c>
      <c r="C57" s="6" t="s">
        <v>1090</v>
      </c>
      <c r="D57" s="6" t="s">
        <v>1357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5.5" customHeight="1" x14ac:dyDescent="0.35">
      <c r="A58" s="22"/>
      <c r="B58" s="6" t="s">
        <v>67</v>
      </c>
      <c r="C58" s="6" t="s">
        <v>1091</v>
      </c>
      <c r="D58" s="6" t="s">
        <v>1357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5.5" customHeight="1" x14ac:dyDescent="0.35">
      <c r="A59" s="22"/>
      <c r="B59" s="6" t="s">
        <v>68</v>
      </c>
      <c r="C59" s="6" t="s">
        <v>1092</v>
      </c>
      <c r="D59" s="6" t="s">
        <v>1357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5.5" hidden="1" customHeight="1" x14ac:dyDescent="0.35">
      <c r="A60" s="22"/>
      <c r="B60" s="6" t="s">
        <v>69</v>
      </c>
      <c r="C60" s="6" t="s">
        <v>69</v>
      </c>
      <c r="D60" s="6">
        <v>200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5.5" customHeight="1" x14ac:dyDescent="0.35">
      <c r="A61" s="22"/>
      <c r="B61" s="6" t="s">
        <v>70</v>
      </c>
      <c r="C61" s="6" t="s">
        <v>1093</v>
      </c>
      <c r="D61" s="6" t="s">
        <v>1357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5.5" customHeight="1" x14ac:dyDescent="0.35">
      <c r="A62" s="22"/>
      <c r="B62" s="6" t="s">
        <v>71</v>
      </c>
      <c r="C62" s="6" t="s">
        <v>1094</v>
      </c>
      <c r="D62" s="6" t="s">
        <v>1357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5.5" hidden="1" customHeight="1" x14ac:dyDescent="0.35">
      <c r="A63" s="22"/>
      <c r="B63" s="6" t="s">
        <v>72</v>
      </c>
      <c r="C63" s="6" t="s">
        <v>1095</v>
      </c>
      <c r="D63" s="6">
        <v>200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5.5" customHeight="1" x14ac:dyDescent="0.35">
      <c r="A64" s="22"/>
      <c r="B64" s="6" t="s">
        <v>73</v>
      </c>
      <c r="C64" s="6" t="s">
        <v>1096</v>
      </c>
      <c r="D64" s="6" t="s">
        <v>1357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5.5" customHeight="1" x14ac:dyDescent="0.35">
      <c r="A65" s="22"/>
      <c r="B65" s="6" t="s">
        <v>74</v>
      </c>
      <c r="C65" s="6" t="s">
        <v>27</v>
      </c>
      <c r="D65" s="6" t="s">
        <v>1357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5.5" hidden="1" customHeight="1" x14ac:dyDescent="0.35">
      <c r="A66" s="22"/>
      <c r="B66" s="6" t="s">
        <v>75</v>
      </c>
      <c r="C66" s="6" t="s">
        <v>1097</v>
      </c>
      <c r="D66" s="6">
        <v>200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5.5" customHeight="1" x14ac:dyDescent="0.35">
      <c r="A67" s="22"/>
      <c r="B67" s="6" t="s">
        <v>76</v>
      </c>
      <c r="C67" s="6" t="s">
        <v>1098</v>
      </c>
      <c r="D67" s="6" t="s">
        <v>1357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5.5" customHeight="1" x14ac:dyDescent="0.35">
      <c r="A68" s="22"/>
      <c r="B68" s="6" t="s">
        <v>77</v>
      </c>
      <c r="C68" s="6" t="s">
        <v>1099</v>
      </c>
      <c r="D68" s="6" t="s">
        <v>1357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25.5" hidden="1" customHeight="1" x14ac:dyDescent="0.35">
      <c r="A69" s="22"/>
      <c r="B69" s="6" t="s">
        <v>78</v>
      </c>
      <c r="C69" s="6" t="s">
        <v>1079</v>
      </c>
      <c r="D69" s="6">
        <v>200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5.5" customHeight="1" x14ac:dyDescent="0.35">
      <c r="A70" s="22"/>
      <c r="B70" s="6" t="s">
        <v>79</v>
      </c>
      <c r="C70" s="6" t="s">
        <v>1058</v>
      </c>
      <c r="D70" s="6" t="s">
        <v>1357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5.5" customHeight="1" x14ac:dyDescent="0.35">
      <c r="A71" s="22"/>
      <c r="B71" s="6" t="s">
        <v>80</v>
      </c>
      <c r="C71" s="6" t="s">
        <v>1086</v>
      </c>
      <c r="D71" s="6" t="s">
        <v>1357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5.5" customHeight="1" x14ac:dyDescent="0.35">
      <c r="A72" s="22"/>
      <c r="B72" s="6" t="s">
        <v>81</v>
      </c>
      <c r="C72" s="6" t="s">
        <v>50</v>
      </c>
      <c r="D72" s="6" t="s">
        <v>1357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5.5" customHeight="1" x14ac:dyDescent="0.35">
      <c r="A73" s="22"/>
      <c r="B73" s="6" t="s">
        <v>82</v>
      </c>
      <c r="C73" s="6" t="s">
        <v>1100</v>
      </c>
      <c r="D73" s="6" t="s">
        <v>1357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5.5" customHeight="1" x14ac:dyDescent="0.35">
      <c r="A74" s="22"/>
      <c r="B74" s="6" t="s">
        <v>83</v>
      </c>
      <c r="C74" s="6" t="s">
        <v>1058</v>
      </c>
      <c r="D74" s="6" t="s">
        <v>1357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5.5" customHeight="1" x14ac:dyDescent="0.35">
      <c r="A75" s="22"/>
      <c r="B75" s="6" t="s">
        <v>84</v>
      </c>
      <c r="C75" s="23" t="s">
        <v>1099</v>
      </c>
      <c r="D75" s="6" t="s">
        <v>1357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5.5" customHeight="1" x14ac:dyDescent="0.35">
      <c r="A76" s="22"/>
      <c r="B76" s="6" t="s">
        <v>85</v>
      </c>
      <c r="C76" s="6" t="s">
        <v>1101</v>
      </c>
      <c r="D76" s="6" t="s">
        <v>1357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5.5" customHeight="1" x14ac:dyDescent="0.35">
      <c r="A77" s="22"/>
      <c r="B77" s="6" t="s">
        <v>86</v>
      </c>
      <c r="C77" s="6" t="s">
        <v>1102</v>
      </c>
      <c r="D77" s="6" t="s">
        <v>1357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5.5" customHeight="1" x14ac:dyDescent="0.35">
      <c r="A78" s="22"/>
      <c r="B78" s="6" t="s">
        <v>87</v>
      </c>
      <c r="C78" s="6" t="s">
        <v>1047</v>
      </c>
      <c r="D78" s="6" t="s">
        <v>1357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5.5" customHeight="1" x14ac:dyDescent="0.35">
      <c r="A79" s="22"/>
      <c r="B79" s="6" t="s">
        <v>88</v>
      </c>
      <c r="C79" s="6" t="s">
        <v>1103</v>
      </c>
      <c r="D79" s="6" t="s">
        <v>1357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5.5" hidden="1" customHeight="1" x14ac:dyDescent="0.35">
      <c r="A80" s="22"/>
      <c r="B80" s="6" t="s">
        <v>89</v>
      </c>
      <c r="C80" s="6" t="s">
        <v>1104</v>
      </c>
      <c r="D80" s="6">
        <v>200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5.5" customHeight="1" x14ac:dyDescent="0.35">
      <c r="A81" s="22"/>
      <c r="B81" s="6" t="s">
        <v>90</v>
      </c>
      <c r="C81" s="6" t="s">
        <v>1105</v>
      </c>
      <c r="D81" s="6" t="s">
        <v>1357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5.5" customHeight="1" x14ac:dyDescent="0.35">
      <c r="A82" s="22"/>
      <c r="B82" s="6" t="s">
        <v>91</v>
      </c>
      <c r="C82" s="6" t="s">
        <v>1106</v>
      </c>
      <c r="D82" s="6" t="s">
        <v>1357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5.5" customHeight="1" x14ac:dyDescent="0.35">
      <c r="A83" s="22"/>
      <c r="B83" s="6" t="s">
        <v>92</v>
      </c>
      <c r="C83" s="6" t="s">
        <v>1079</v>
      </c>
      <c r="D83" s="6" t="s">
        <v>1357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5.5" customHeight="1" x14ac:dyDescent="0.35">
      <c r="A84" s="22"/>
      <c r="B84" s="6" t="s">
        <v>93</v>
      </c>
      <c r="C84" s="6" t="s">
        <v>1067</v>
      </c>
      <c r="D84" s="6" t="s">
        <v>1358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5.5" customHeight="1" x14ac:dyDescent="0.35">
      <c r="A85" s="22"/>
      <c r="B85" s="6" t="s">
        <v>94</v>
      </c>
      <c r="C85" s="6" t="s">
        <v>1107</v>
      </c>
      <c r="D85" s="6" t="s">
        <v>1357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5.5" customHeight="1" x14ac:dyDescent="0.35">
      <c r="A86" s="22"/>
      <c r="B86" s="6" t="s">
        <v>95</v>
      </c>
      <c r="C86" s="6" t="s">
        <v>1108</v>
      </c>
      <c r="D86" s="6" t="s">
        <v>1357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5.5" customHeight="1" x14ac:dyDescent="0.35">
      <c r="A87" s="22"/>
      <c r="B87" s="6" t="s">
        <v>96</v>
      </c>
      <c r="C87" s="6" t="s">
        <v>1109</v>
      </c>
      <c r="D87" s="6" t="s">
        <v>1357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5.5" customHeight="1" x14ac:dyDescent="0.35">
      <c r="A88" s="22"/>
      <c r="B88" s="6" t="s">
        <v>97</v>
      </c>
      <c r="C88" s="6" t="s">
        <v>1110</v>
      </c>
      <c r="D88" s="6" t="s">
        <v>1357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5.5" customHeight="1" x14ac:dyDescent="0.35">
      <c r="A89" s="22"/>
      <c r="B89" s="6" t="s">
        <v>98</v>
      </c>
      <c r="C89" s="6" t="s">
        <v>1111</v>
      </c>
      <c r="D89" s="6" t="s">
        <v>1357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5.5" customHeight="1" x14ac:dyDescent="0.35">
      <c r="A90" s="22"/>
      <c r="B90" s="6" t="s">
        <v>99</v>
      </c>
      <c r="C90" s="6" t="s">
        <v>11</v>
      </c>
      <c r="D90" s="6" t="s">
        <v>1357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5.5" customHeight="1" x14ac:dyDescent="0.35">
      <c r="A91" s="22"/>
      <c r="B91" s="6" t="s">
        <v>100</v>
      </c>
      <c r="C91" s="23" t="s">
        <v>1112</v>
      </c>
      <c r="D91" s="6" t="s">
        <v>1357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5.5" customHeight="1" x14ac:dyDescent="0.35">
      <c r="A92" s="22"/>
      <c r="B92" s="6" t="s">
        <v>101</v>
      </c>
      <c r="C92" s="6" t="s">
        <v>1099</v>
      </c>
      <c r="D92" s="6" t="s">
        <v>1357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5.5" hidden="1" customHeight="1" x14ac:dyDescent="0.35">
      <c r="A93" s="22"/>
      <c r="B93" s="6" t="s">
        <v>102</v>
      </c>
      <c r="C93" s="6" t="s">
        <v>1113</v>
      </c>
      <c r="D93" s="6">
        <v>200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5.5" customHeight="1" x14ac:dyDescent="0.35">
      <c r="A94" s="22"/>
      <c r="B94" s="6" t="s">
        <v>103</v>
      </c>
      <c r="C94" s="6" t="s">
        <v>1114</v>
      </c>
      <c r="D94" s="6" t="s">
        <v>1357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5.5" customHeight="1" x14ac:dyDescent="0.35">
      <c r="A95" s="22"/>
      <c r="B95" s="6" t="s">
        <v>104</v>
      </c>
      <c r="C95" s="6" t="s">
        <v>1115</v>
      </c>
      <c r="D95" s="6" t="s">
        <v>1357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5.5" customHeight="1" x14ac:dyDescent="0.35">
      <c r="A96" s="22"/>
      <c r="B96" s="6" t="s">
        <v>105</v>
      </c>
      <c r="C96" s="6" t="s">
        <v>1116</v>
      </c>
      <c r="D96" s="6" t="s">
        <v>1357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5.5" customHeight="1" x14ac:dyDescent="0.35">
      <c r="A97" s="22"/>
      <c r="B97" s="6" t="s">
        <v>106</v>
      </c>
      <c r="C97" s="6" t="s">
        <v>1117</v>
      </c>
      <c r="D97" s="6" t="s">
        <v>1357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5.5" customHeight="1" x14ac:dyDescent="0.35">
      <c r="A98" s="22"/>
      <c r="B98" s="6" t="s">
        <v>107</v>
      </c>
      <c r="C98" s="6" t="s">
        <v>1118</v>
      </c>
      <c r="D98" s="6" t="s">
        <v>1358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25.5" customHeight="1" x14ac:dyDescent="0.35">
      <c r="A99" s="22"/>
      <c r="B99" s="6" t="s">
        <v>108</v>
      </c>
      <c r="C99" s="6" t="s">
        <v>1119</v>
      </c>
      <c r="D99" s="6" t="s">
        <v>1357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25.5" customHeight="1" x14ac:dyDescent="0.35">
      <c r="A100" s="22"/>
      <c r="B100" s="6" t="s">
        <v>109</v>
      </c>
      <c r="C100" s="6" t="s">
        <v>1120</v>
      </c>
      <c r="D100" s="6" t="s">
        <v>1357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25.5" customHeight="1" x14ac:dyDescent="0.35">
      <c r="A101" s="22"/>
      <c r="B101" s="6" t="s">
        <v>110</v>
      </c>
      <c r="C101" s="6" t="s">
        <v>1121</v>
      </c>
      <c r="D101" s="6" t="s">
        <v>1357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25.5" hidden="1" customHeight="1" x14ac:dyDescent="0.35">
      <c r="A102" s="22"/>
      <c r="B102" s="6" t="s">
        <v>111</v>
      </c>
      <c r="C102" s="6" t="s">
        <v>1122</v>
      </c>
      <c r="D102" s="6">
        <v>200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25.5" hidden="1" customHeight="1" x14ac:dyDescent="0.35">
      <c r="A103" s="22"/>
      <c r="B103" s="6" t="s">
        <v>112</v>
      </c>
      <c r="C103" s="6" t="s">
        <v>1123</v>
      </c>
      <c r="D103" s="6">
        <v>200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25.5" customHeight="1" x14ac:dyDescent="0.35">
      <c r="A104" s="22"/>
      <c r="B104" s="6" t="s">
        <v>113</v>
      </c>
      <c r="C104" s="6" t="s">
        <v>1124</v>
      </c>
      <c r="D104" s="6" t="s">
        <v>1357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5.5" customHeight="1" x14ac:dyDescent="0.35">
      <c r="A105" s="22"/>
      <c r="B105" s="6" t="s">
        <v>114</v>
      </c>
      <c r="C105" s="6" t="s">
        <v>1079</v>
      </c>
      <c r="D105" s="6" t="s">
        <v>1357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5.5" customHeight="1" x14ac:dyDescent="0.35">
      <c r="A106" s="22"/>
      <c r="B106" s="6" t="s">
        <v>115</v>
      </c>
      <c r="C106" s="6" t="s">
        <v>1125</v>
      </c>
      <c r="D106" s="6" t="s">
        <v>1357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25.5" hidden="1" customHeight="1" x14ac:dyDescent="0.35">
      <c r="A107" s="22"/>
      <c r="B107" s="6" t="s">
        <v>116</v>
      </c>
      <c r="C107" s="6" t="s">
        <v>1126</v>
      </c>
      <c r="D107" s="6">
        <v>200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25.5" customHeight="1" x14ac:dyDescent="0.35">
      <c r="A108" s="22"/>
      <c r="B108" s="6" t="s">
        <v>117</v>
      </c>
      <c r="C108" s="6" t="s">
        <v>1127</v>
      </c>
      <c r="D108" s="6" t="s">
        <v>1357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25.5" customHeight="1" x14ac:dyDescent="0.35">
      <c r="A109" s="22"/>
      <c r="B109" s="6" t="s">
        <v>118</v>
      </c>
      <c r="C109" s="6" t="s">
        <v>1128</v>
      </c>
      <c r="D109" s="6" t="s">
        <v>1357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25.5" customHeight="1" x14ac:dyDescent="0.35">
      <c r="A110" s="22"/>
      <c r="B110" s="6" t="s">
        <v>119</v>
      </c>
      <c r="C110" s="6" t="s">
        <v>1129</v>
      </c>
      <c r="D110" s="6" t="s">
        <v>1357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25.5" customHeight="1" x14ac:dyDescent="0.35">
      <c r="A111" s="22"/>
      <c r="B111" s="6" t="s">
        <v>120</v>
      </c>
      <c r="C111" s="6" t="s">
        <v>1079</v>
      </c>
      <c r="D111" s="6" t="s">
        <v>1357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25.5" customHeight="1" x14ac:dyDescent="0.35">
      <c r="A112" s="22"/>
      <c r="B112" s="6" t="s">
        <v>121</v>
      </c>
      <c r="C112" s="6" t="s">
        <v>1130</v>
      </c>
      <c r="D112" s="6" t="s">
        <v>1357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25.5" hidden="1" customHeight="1" x14ac:dyDescent="0.35">
      <c r="A113" s="22"/>
      <c r="B113" s="6" t="s">
        <v>122</v>
      </c>
      <c r="C113" s="6" t="s">
        <v>1131</v>
      </c>
      <c r="D113" s="6">
        <v>200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25.5" customHeight="1" x14ac:dyDescent="0.35">
      <c r="A114" s="22"/>
      <c r="B114" s="6" t="s">
        <v>123</v>
      </c>
      <c r="C114" s="6" t="s">
        <v>1096</v>
      </c>
      <c r="D114" s="6" t="s">
        <v>1357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25.5" customHeight="1" x14ac:dyDescent="0.35">
      <c r="A115" s="22"/>
      <c r="B115" s="6" t="s">
        <v>124</v>
      </c>
      <c r="C115" s="6" t="s">
        <v>1132</v>
      </c>
      <c r="D115" s="6" t="s">
        <v>1357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25.5" customHeight="1" x14ac:dyDescent="0.35">
      <c r="A116" s="22"/>
      <c r="B116" s="6" t="s">
        <v>125</v>
      </c>
      <c r="C116" s="6" t="s">
        <v>1133</v>
      </c>
      <c r="D116" s="6" t="s">
        <v>1357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25.5" customHeight="1" x14ac:dyDescent="0.35">
      <c r="A117" s="22"/>
      <c r="B117" s="6" t="s">
        <v>126</v>
      </c>
      <c r="C117" s="23" t="s">
        <v>1134</v>
      </c>
      <c r="D117" s="6" t="s">
        <v>1357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25.5" customHeight="1" x14ac:dyDescent="0.35">
      <c r="A118" s="22"/>
      <c r="B118" s="6" t="s">
        <v>127</v>
      </c>
      <c r="C118" s="6" t="s">
        <v>1135</v>
      </c>
      <c r="D118" s="6" t="s">
        <v>1358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25.5" customHeight="1" x14ac:dyDescent="0.35">
      <c r="A119" s="22"/>
      <c r="B119" s="6" t="s">
        <v>128</v>
      </c>
      <c r="C119" s="6" t="s">
        <v>1136</v>
      </c>
      <c r="D119" s="6" t="s">
        <v>1357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25.5" customHeight="1" x14ac:dyDescent="0.35">
      <c r="A120" s="22"/>
      <c r="B120" s="6" t="s">
        <v>129</v>
      </c>
      <c r="C120" s="6" t="s">
        <v>1137</v>
      </c>
      <c r="D120" s="6" t="s">
        <v>1357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25.5" customHeight="1" x14ac:dyDescent="0.35">
      <c r="A121" s="22"/>
      <c r="B121" s="6" t="s">
        <v>130</v>
      </c>
      <c r="C121" s="6" t="s">
        <v>1138</v>
      </c>
      <c r="D121" s="6" t="s">
        <v>1357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25.5" customHeight="1" x14ac:dyDescent="0.35">
      <c r="A122" s="22"/>
      <c r="B122" s="6" t="s">
        <v>131</v>
      </c>
      <c r="C122" s="6" t="s">
        <v>1139</v>
      </c>
      <c r="D122" s="6" t="s">
        <v>1357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25.5" customHeight="1" x14ac:dyDescent="0.35">
      <c r="A123" s="22"/>
      <c r="B123" s="6" t="s">
        <v>132</v>
      </c>
      <c r="C123" s="6" t="s">
        <v>1140</v>
      </c>
      <c r="D123" s="6" t="s">
        <v>1357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25.5" customHeight="1" x14ac:dyDescent="0.35">
      <c r="A124" s="22"/>
      <c r="B124" s="6" t="s">
        <v>133</v>
      </c>
      <c r="C124" s="6" t="s">
        <v>1141</v>
      </c>
      <c r="D124" s="6" t="s">
        <v>1357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25.5" customHeight="1" x14ac:dyDescent="0.35">
      <c r="A125" s="22"/>
      <c r="B125" s="6" t="s">
        <v>134</v>
      </c>
      <c r="C125" s="6" t="s">
        <v>1142</v>
      </c>
      <c r="D125" s="6" t="s">
        <v>1357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25.5" customHeight="1" x14ac:dyDescent="0.35">
      <c r="A126" s="22"/>
      <c r="B126" s="6" t="s">
        <v>135</v>
      </c>
      <c r="C126" s="6" t="s">
        <v>1143</v>
      </c>
      <c r="D126" s="6" t="s">
        <v>1357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25.5" customHeight="1" x14ac:dyDescent="0.35">
      <c r="A127" s="22"/>
      <c r="B127" s="6" t="s">
        <v>136</v>
      </c>
      <c r="C127" s="6" t="s">
        <v>1144</v>
      </c>
      <c r="D127" s="6" t="s">
        <v>1357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25.5" customHeight="1" x14ac:dyDescent="0.35">
      <c r="A128" s="22"/>
      <c r="B128" s="6" t="s">
        <v>137</v>
      </c>
      <c r="C128" s="6" t="s">
        <v>1145</v>
      </c>
      <c r="D128" s="6" t="s">
        <v>1357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25.5" hidden="1" customHeight="1" x14ac:dyDescent="0.35">
      <c r="A129" s="22"/>
      <c r="B129" s="6" t="s">
        <v>138</v>
      </c>
      <c r="C129" s="6" t="s">
        <v>1146</v>
      </c>
      <c r="D129" s="6">
        <v>200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25.5" customHeight="1" x14ac:dyDescent="0.35">
      <c r="A130" s="22"/>
      <c r="B130" s="6" t="s">
        <v>139</v>
      </c>
      <c r="C130" s="23" t="s">
        <v>1147</v>
      </c>
      <c r="D130" s="6" t="s">
        <v>1357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25.5" customHeight="1" x14ac:dyDescent="0.35">
      <c r="A131" s="22"/>
      <c r="B131" s="6" t="s">
        <v>140</v>
      </c>
      <c r="C131" s="6" t="s">
        <v>1148</v>
      </c>
      <c r="D131" s="6" t="s">
        <v>1357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25.5" customHeight="1" x14ac:dyDescent="0.35">
      <c r="A132" s="22"/>
      <c r="B132" s="6" t="s">
        <v>141</v>
      </c>
      <c r="C132" s="6" t="s">
        <v>1149</v>
      </c>
      <c r="D132" s="6" t="s">
        <v>1357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25.5" customHeight="1" x14ac:dyDescent="0.35">
      <c r="A133" s="22"/>
      <c r="B133" s="6" t="s">
        <v>142</v>
      </c>
      <c r="C133" s="23" t="s">
        <v>1112</v>
      </c>
      <c r="D133" s="6" t="s">
        <v>1357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25.5" customHeight="1" x14ac:dyDescent="0.35">
      <c r="A134" s="22"/>
      <c r="B134" s="6" t="s">
        <v>143</v>
      </c>
      <c r="C134" s="6" t="s">
        <v>1150</v>
      </c>
      <c r="D134" s="6" t="s">
        <v>1357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25.5" customHeight="1" x14ac:dyDescent="0.35">
      <c r="A135" s="22"/>
      <c r="B135" s="6" t="s">
        <v>144</v>
      </c>
      <c r="C135" s="6" t="s">
        <v>1151</v>
      </c>
      <c r="D135" s="6" t="s">
        <v>1357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25.5" hidden="1" customHeight="1" x14ac:dyDescent="0.35">
      <c r="A136" s="22"/>
      <c r="B136" s="6" t="s">
        <v>145</v>
      </c>
      <c r="C136" s="6" t="s">
        <v>1107</v>
      </c>
      <c r="D136" s="6">
        <v>200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25.5" hidden="1" customHeight="1" x14ac:dyDescent="0.35">
      <c r="A137" s="22"/>
      <c r="B137" s="6" t="s">
        <v>146</v>
      </c>
      <c r="C137" s="6" t="s">
        <v>1152</v>
      </c>
      <c r="D137" s="6">
        <v>200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25.5" customHeight="1" x14ac:dyDescent="0.35">
      <c r="A138" s="22"/>
      <c r="B138" s="6" t="s">
        <v>147</v>
      </c>
      <c r="C138" s="6" t="s">
        <v>1079</v>
      </c>
      <c r="D138" s="6" t="s">
        <v>1357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25.5" customHeight="1" x14ac:dyDescent="0.35">
      <c r="A139" s="22"/>
      <c r="B139" s="6" t="s">
        <v>150</v>
      </c>
      <c r="C139" s="6" t="s">
        <v>1153</v>
      </c>
      <c r="D139" s="6" t="s">
        <v>1357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25.5" customHeight="1" x14ac:dyDescent="0.35">
      <c r="A140" s="22"/>
      <c r="B140" s="6" t="s">
        <v>152</v>
      </c>
      <c r="C140" s="6" t="s">
        <v>1047</v>
      </c>
      <c r="D140" s="6" t="s">
        <v>1357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25.5" customHeight="1" x14ac:dyDescent="0.35">
      <c r="A141" s="22"/>
      <c r="B141" s="6" t="s">
        <v>153</v>
      </c>
      <c r="C141" s="6" t="s">
        <v>1154</v>
      </c>
      <c r="D141" s="6" t="s">
        <v>1357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25.5" customHeight="1" x14ac:dyDescent="0.35">
      <c r="A142" s="22"/>
      <c r="B142" s="6" t="s">
        <v>154</v>
      </c>
      <c r="C142" s="6" t="s">
        <v>1155</v>
      </c>
      <c r="D142" s="6" t="s">
        <v>1357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25.5" customHeight="1" x14ac:dyDescent="0.35">
      <c r="A143" s="22"/>
      <c r="B143" s="6" t="s">
        <v>155</v>
      </c>
      <c r="C143" s="6" t="s">
        <v>1156</v>
      </c>
      <c r="D143" s="6" t="s">
        <v>1358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25.5" customHeight="1" x14ac:dyDescent="0.35">
      <c r="A144" s="22"/>
      <c r="B144" s="6" t="s">
        <v>156</v>
      </c>
      <c r="C144" s="6" t="s">
        <v>1157</v>
      </c>
      <c r="D144" s="6" t="s">
        <v>1357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25.5" customHeight="1" x14ac:dyDescent="0.35">
      <c r="A145" s="22"/>
      <c r="B145" s="6" t="s">
        <v>157</v>
      </c>
      <c r="C145" s="6" t="s">
        <v>1158</v>
      </c>
      <c r="D145" s="6" t="s">
        <v>1357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25.5" customHeight="1" x14ac:dyDescent="0.35">
      <c r="A146" s="22"/>
      <c r="B146" s="6" t="s">
        <v>158</v>
      </c>
      <c r="C146" s="6" t="s">
        <v>1159</v>
      </c>
      <c r="D146" s="6" t="s">
        <v>1357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25.5" customHeight="1" x14ac:dyDescent="0.35">
      <c r="A147" s="22"/>
      <c r="B147" s="6" t="s">
        <v>159</v>
      </c>
      <c r="C147" s="6" t="s">
        <v>1160</v>
      </c>
      <c r="D147" s="6" t="s">
        <v>1358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5.5" customHeight="1" x14ac:dyDescent="0.35">
      <c r="A148" s="22"/>
      <c r="B148" s="6" t="s">
        <v>160</v>
      </c>
      <c r="C148" s="6" t="s">
        <v>1161</v>
      </c>
      <c r="D148" s="6" t="s">
        <v>1357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25.5" customHeight="1" x14ac:dyDescent="0.35">
      <c r="A149" s="22"/>
      <c r="B149" s="6" t="s">
        <v>161</v>
      </c>
      <c r="C149" s="6" t="s">
        <v>1101</v>
      </c>
      <c r="D149" s="6" t="s">
        <v>1357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25.5" customHeight="1" x14ac:dyDescent="0.35">
      <c r="A150" s="22"/>
      <c r="B150" s="6" t="s">
        <v>162</v>
      </c>
      <c r="C150" s="6" t="s">
        <v>1095</v>
      </c>
      <c r="D150" s="6" t="s">
        <v>1357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25.5" customHeight="1" x14ac:dyDescent="0.35">
      <c r="A151" s="22"/>
      <c r="B151" s="6" t="s">
        <v>163</v>
      </c>
      <c r="C151" s="6" t="s">
        <v>1162</v>
      </c>
      <c r="D151" s="6" t="s">
        <v>1357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25.5" customHeight="1" x14ac:dyDescent="0.35">
      <c r="A152" s="22"/>
      <c r="B152" s="6" t="s">
        <v>164</v>
      </c>
      <c r="C152" s="6" t="s">
        <v>1163</v>
      </c>
      <c r="D152" s="6" t="s">
        <v>1358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25.5" customHeight="1" x14ac:dyDescent="0.35">
      <c r="A153" s="22"/>
      <c r="B153" s="6" t="s">
        <v>165</v>
      </c>
      <c r="C153" s="6" t="s">
        <v>1164</v>
      </c>
      <c r="D153" s="6" t="s">
        <v>1357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25.5" customHeight="1" x14ac:dyDescent="0.35">
      <c r="A154" s="22"/>
      <c r="B154" s="6" t="s">
        <v>166</v>
      </c>
      <c r="C154" s="6" t="s">
        <v>1165</v>
      </c>
      <c r="D154" s="6" t="s">
        <v>1357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25.5" customHeight="1" x14ac:dyDescent="0.35">
      <c r="A155" s="22"/>
      <c r="B155" s="6" t="s">
        <v>167</v>
      </c>
      <c r="C155" s="6" t="s">
        <v>1166</v>
      </c>
      <c r="D155" s="6" t="s">
        <v>1357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25.5" customHeight="1" x14ac:dyDescent="0.35">
      <c r="A156" s="22"/>
      <c r="B156" s="6" t="s">
        <v>168</v>
      </c>
      <c r="C156" s="6" t="s">
        <v>1132</v>
      </c>
      <c r="D156" s="6" t="s">
        <v>1358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25.5" hidden="1" customHeight="1" x14ac:dyDescent="0.35">
      <c r="A157" s="22"/>
      <c r="B157" s="6" t="s">
        <v>169</v>
      </c>
      <c r="C157" s="6" t="s">
        <v>1099</v>
      </c>
      <c r="D157" s="6">
        <v>200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25.5" hidden="1" customHeight="1" x14ac:dyDescent="0.35">
      <c r="A158" s="22"/>
      <c r="B158" s="6" t="s">
        <v>170</v>
      </c>
      <c r="C158" s="6" t="s">
        <v>1167</v>
      </c>
      <c r="D158" s="6">
        <v>200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25.5" customHeight="1" x14ac:dyDescent="0.35">
      <c r="A159" s="22"/>
      <c r="B159" s="6" t="s">
        <v>171</v>
      </c>
      <c r="C159" s="6" t="s">
        <v>1168</v>
      </c>
      <c r="D159" s="6" t="s">
        <v>1357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25.5" customHeight="1" x14ac:dyDescent="0.35">
      <c r="A160" s="22"/>
      <c r="B160" s="6" t="s">
        <v>172</v>
      </c>
      <c r="C160" s="6" t="s">
        <v>11</v>
      </c>
      <c r="D160" s="6" t="s">
        <v>1357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25.5" hidden="1" customHeight="1" x14ac:dyDescent="0.35">
      <c r="A161" s="22"/>
      <c r="B161" s="6" t="s">
        <v>173</v>
      </c>
      <c r="C161" s="6" t="s">
        <v>1169</v>
      </c>
      <c r="D161" s="6">
        <v>200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25.5" customHeight="1" x14ac:dyDescent="0.35">
      <c r="A162" s="22"/>
      <c r="B162" s="6" t="s">
        <v>174</v>
      </c>
      <c r="C162" s="6" t="s">
        <v>1128</v>
      </c>
      <c r="D162" s="6" t="s">
        <v>1357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25.5" customHeight="1" x14ac:dyDescent="0.35">
      <c r="A163" s="22"/>
      <c r="B163" s="6" t="s">
        <v>175</v>
      </c>
      <c r="C163" s="6" t="s">
        <v>1170</v>
      </c>
      <c r="D163" s="6" t="s">
        <v>1357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25.5" customHeight="1" x14ac:dyDescent="0.35">
      <c r="A164" s="22"/>
      <c r="B164" s="6" t="s">
        <v>176</v>
      </c>
      <c r="C164" s="6" t="s">
        <v>11</v>
      </c>
      <c r="D164" s="6" t="s">
        <v>1357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25.5" customHeight="1" x14ac:dyDescent="0.35">
      <c r="A165" s="22"/>
      <c r="B165" s="6" t="s">
        <v>177</v>
      </c>
      <c r="C165" s="6" t="s">
        <v>1079</v>
      </c>
      <c r="D165" s="6" t="s">
        <v>1357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25.5" customHeight="1" x14ac:dyDescent="0.35">
      <c r="A166" s="22"/>
      <c r="B166" s="6" t="s">
        <v>178</v>
      </c>
      <c r="C166" s="6" t="s">
        <v>1079</v>
      </c>
      <c r="D166" s="6" t="s">
        <v>1357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25.5" customHeight="1" x14ac:dyDescent="0.35">
      <c r="A167" s="22"/>
      <c r="B167" s="6" t="s">
        <v>179</v>
      </c>
      <c r="C167" s="6" t="s">
        <v>1079</v>
      </c>
      <c r="D167" s="6" t="s">
        <v>1357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25.5" customHeight="1" x14ac:dyDescent="0.35">
      <c r="A168" s="22"/>
      <c r="B168" s="6" t="s">
        <v>181</v>
      </c>
      <c r="C168" s="6" t="s">
        <v>1171</v>
      </c>
      <c r="D168" s="6" t="s">
        <v>1357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25.5" customHeight="1" x14ac:dyDescent="0.35">
      <c r="A169" s="22"/>
      <c r="B169" s="6" t="s">
        <v>182</v>
      </c>
      <c r="C169" s="6" t="s">
        <v>11</v>
      </c>
      <c r="D169" s="6" t="s">
        <v>1357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25.5" customHeight="1" x14ac:dyDescent="0.35">
      <c r="A170" s="22"/>
      <c r="B170" s="6" t="s">
        <v>183</v>
      </c>
      <c r="C170" s="6" t="s">
        <v>1047</v>
      </c>
      <c r="D170" s="6" t="s">
        <v>1358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25.5" customHeight="1" x14ac:dyDescent="0.35">
      <c r="A171" s="22"/>
      <c r="B171" s="6" t="s">
        <v>184</v>
      </c>
      <c r="C171" s="6" t="s">
        <v>1047</v>
      </c>
      <c r="D171" s="6" t="s">
        <v>1357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25.5" hidden="1" customHeight="1" x14ac:dyDescent="0.35">
      <c r="A172" s="22"/>
      <c r="B172" s="6" t="s">
        <v>185</v>
      </c>
      <c r="C172" s="6" t="s">
        <v>1047</v>
      </c>
      <c r="D172" s="6">
        <v>200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25.5" customHeight="1" x14ac:dyDescent="0.35">
      <c r="A173" s="22"/>
      <c r="B173" s="6" t="s">
        <v>186</v>
      </c>
      <c r="C173" s="6" t="s">
        <v>1172</v>
      </c>
      <c r="D173" s="6" t="s">
        <v>1357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25.5" customHeight="1" x14ac:dyDescent="0.35">
      <c r="A174" s="22"/>
      <c r="B174" s="6" t="s">
        <v>187</v>
      </c>
      <c r="C174" s="6" t="s">
        <v>11</v>
      </c>
      <c r="D174" s="6" t="s">
        <v>1357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25.5" hidden="1" customHeight="1" x14ac:dyDescent="0.35">
      <c r="A175" s="22"/>
      <c r="B175" s="6" t="s">
        <v>188</v>
      </c>
      <c r="C175" s="6" t="s">
        <v>1173</v>
      </c>
      <c r="D175" s="6">
        <v>200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25.5" hidden="1" customHeight="1" x14ac:dyDescent="0.35">
      <c r="A176" s="22"/>
      <c r="B176" s="6" t="s">
        <v>189</v>
      </c>
      <c r="C176" s="6" t="s">
        <v>1174</v>
      </c>
      <c r="D176" s="6">
        <v>200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25.5" customHeight="1" x14ac:dyDescent="0.35">
      <c r="A177" s="22"/>
      <c r="B177" s="6" t="s">
        <v>190</v>
      </c>
      <c r="C177" s="6" t="s">
        <v>1175</v>
      </c>
      <c r="D177" s="6" t="s">
        <v>1357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25.5" customHeight="1" x14ac:dyDescent="0.35">
      <c r="A178" s="22"/>
      <c r="B178" s="6" t="s">
        <v>191</v>
      </c>
      <c r="C178" s="6" t="s">
        <v>1176</v>
      </c>
      <c r="D178" s="6" t="s">
        <v>1357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25.5" hidden="1" customHeight="1" x14ac:dyDescent="0.35">
      <c r="A179" s="22"/>
      <c r="B179" s="6" t="s">
        <v>192</v>
      </c>
      <c r="C179" s="6" t="s">
        <v>1177</v>
      </c>
      <c r="D179" s="6">
        <v>200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25.5" customHeight="1" x14ac:dyDescent="0.35">
      <c r="A180" s="22"/>
      <c r="B180" s="6" t="s">
        <v>193</v>
      </c>
      <c r="C180" s="6" t="s">
        <v>1178</v>
      </c>
      <c r="D180" s="6" t="s">
        <v>1357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25.5" customHeight="1" x14ac:dyDescent="0.35">
      <c r="A181" s="22"/>
      <c r="B181" s="6" t="s">
        <v>194</v>
      </c>
      <c r="C181" s="6" t="s">
        <v>1179</v>
      </c>
      <c r="D181" s="6" t="s">
        <v>1357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25.5" customHeight="1" x14ac:dyDescent="0.35">
      <c r="A182" s="22"/>
      <c r="B182" s="6" t="s">
        <v>195</v>
      </c>
      <c r="C182" s="6" t="s">
        <v>1180</v>
      </c>
      <c r="D182" s="6" t="s">
        <v>1357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25.5" customHeight="1" x14ac:dyDescent="0.35">
      <c r="A183" s="22"/>
      <c r="B183" s="6" t="s">
        <v>196</v>
      </c>
      <c r="C183" s="23" t="s">
        <v>1181</v>
      </c>
      <c r="D183" s="6" t="s">
        <v>1357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25.5" customHeight="1" x14ac:dyDescent="0.35">
      <c r="A184" s="22"/>
      <c r="B184" s="6" t="s">
        <v>197</v>
      </c>
      <c r="C184" s="6" t="s">
        <v>1182</v>
      </c>
      <c r="D184" s="6" t="s">
        <v>1357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25.5" customHeight="1" x14ac:dyDescent="0.35">
      <c r="A185" s="22"/>
      <c r="B185" s="6" t="s">
        <v>198</v>
      </c>
      <c r="C185" s="6" t="s">
        <v>1183</v>
      </c>
      <c r="D185" s="6" t="s">
        <v>1357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25.5" customHeight="1" x14ac:dyDescent="0.35">
      <c r="A186" s="22"/>
      <c r="B186" s="6" t="s">
        <v>199</v>
      </c>
      <c r="C186" s="6" t="s">
        <v>1151</v>
      </c>
      <c r="D186" s="6" t="s">
        <v>1357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25.5" customHeight="1" x14ac:dyDescent="0.35">
      <c r="A187" s="22"/>
      <c r="B187" s="6" t="s">
        <v>200</v>
      </c>
      <c r="C187" s="23" t="s">
        <v>1184</v>
      </c>
      <c r="D187" s="6" t="s">
        <v>1357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25.5" hidden="1" customHeight="1" x14ac:dyDescent="0.35">
      <c r="A188" s="22"/>
      <c r="B188" s="6" t="s">
        <v>201</v>
      </c>
      <c r="C188" s="23" t="s">
        <v>1185</v>
      </c>
      <c r="D188" s="6">
        <v>200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25.5" customHeight="1" x14ac:dyDescent="0.35">
      <c r="A189" s="22"/>
      <c r="B189" s="6" t="s">
        <v>202</v>
      </c>
      <c r="C189" s="6" t="s">
        <v>1079</v>
      </c>
      <c r="D189" s="6" t="s">
        <v>1357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25.5" customHeight="1" x14ac:dyDescent="0.35">
      <c r="A190" s="22"/>
      <c r="B190" s="6" t="s">
        <v>203</v>
      </c>
      <c r="C190" s="6" t="s">
        <v>1186</v>
      </c>
      <c r="D190" s="6" t="s">
        <v>1357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25.5" customHeight="1" x14ac:dyDescent="0.35">
      <c r="A191" s="22"/>
      <c r="B191" s="6" t="s">
        <v>204</v>
      </c>
      <c r="C191" s="6" t="s">
        <v>1187</v>
      </c>
      <c r="D191" s="6" t="s">
        <v>1357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25.5" customHeight="1" x14ac:dyDescent="0.35">
      <c r="A192" s="22"/>
      <c r="B192" s="6" t="s">
        <v>205</v>
      </c>
      <c r="C192" s="6" t="s">
        <v>1188</v>
      </c>
      <c r="D192" s="6" t="s">
        <v>1357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25.5" customHeight="1" x14ac:dyDescent="0.35">
      <c r="A193" s="22"/>
      <c r="B193" s="6" t="s">
        <v>206</v>
      </c>
      <c r="C193" s="6" t="s">
        <v>1189</v>
      </c>
      <c r="D193" s="6" t="s">
        <v>1357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25.5" customHeight="1" x14ac:dyDescent="0.35">
      <c r="A194" s="22"/>
      <c r="B194" s="6" t="s">
        <v>207</v>
      </c>
      <c r="C194" s="6" t="s">
        <v>1190</v>
      </c>
      <c r="D194" s="6" t="s">
        <v>1358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25.5" customHeight="1" x14ac:dyDescent="0.35">
      <c r="A195" s="22"/>
      <c r="B195" s="6" t="s">
        <v>208</v>
      </c>
      <c r="C195" s="23" t="s">
        <v>1191</v>
      </c>
      <c r="D195" s="6" t="s">
        <v>1357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25.5" hidden="1" customHeight="1" x14ac:dyDescent="0.35">
      <c r="A196" s="22"/>
      <c r="B196" s="6" t="s">
        <v>209</v>
      </c>
      <c r="C196" s="6" t="s">
        <v>1192</v>
      </c>
      <c r="D196" s="6">
        <v>200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25.5" customHeight="1" x14ac:dyDescent="0.35">
      <c r="A197" s="22"/>
      <c r="B197" s="6" t="s">
        <v>210</v>
      </c>
      <c r="C197" s="6" t="s">
        <v>1193</v>
      </c>
      <c r="D197" s="6" t="s">
        <v>1357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25.5" customHeight="1" x14ac:dyDescent="0.35">
      <c r="A198" s="22"/>
      <c r="B198" s="6" t="s">
        <v>211</v>
      </c>
      <c r="C198" s="6" t="s">
        <v>1194</v>
      </c>
      <c r="D198" s="6" t="s">
        <v>1358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25.5" customHeight="1" x14ac:dyDescent="0.35">
      <c r="A199" s="22"/>
      <c r="B199" s="6" t="s">
        <v>212</v>
      </c>
      <c r="C199" s="6" t="s">
        <v>1195</v>
      </c>
      <c r="D199" s="6" t="s">
        <v>1357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25.5" customHeight="1" x14ac:dyDescent="0.35">
      <c r="A200" s="22"/>
      <c r="B200" s="6" t="s">
        <v>213</v>
      </c>
      <c r="C200" s="6" t="s">
        <v>1196</v>
      </c>
      <c r="D200" s="6" t="s">
        <v>1357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25.5" customHeight="1" x14ac:dyDescent="0.35">
      <c r="A201" s="22"/>
      <c r="B201" s="6" t="s">
        <v>214</v>
      </c>
      <c r="C201" s="6" t="s">
        <v>1197</v>
      </c>
      <c r="D201" s="6" t="s">
        <v>1357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25.5" customHeight="1" x14ac:dyDescent="0.35">
      <c r="A202" s="22"/>
      <c r="B202" s="6" t="s">
        <v>215</v>
      </c>
      <c r="C202" s="6" t="s">
        <v>1198</v>
      </c>
      <c r="D202" s="6" t="s">
        <v>1357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25.5" customHeight="1" x14ac:dyDescent="0.35">
      <c r="A203" s="22"/>
      <c r="B203" s="6" t="s">
        <v>216</v>
      </c>
      <c r="C203" s="6" t="s">
        <v>1062</v>
      </c>
      <c r="D203" s="6" t="s">
        <v>1357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25.5" customHeight="1" x14ac:dyDescent="0.35">
      <c r="A204" s="22"/>
      <c r="B204" s="6" t="s">
        <v>217</v>
      </c>
      <c r="C204" s="6" t="s">
        <v>1058</v>
      </c>
      <c r="D204" s="6" t="s">
        <v>1357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25.5" customHeight="1" x14ac:dyDescent="0.35">
      <c r="A205" s="22"/>
      <c r="B205" s="6" t="s">
        <v>218</v>
      </c>
      <c r="C205" s="6" t="s">
        <v>1079</v>
      </c>
      <c r="D205" s="6" t="s">
        <v>1357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25.5" customHeight="1" x14ac:dyDescent="0.35">
      <c r="A206" s="22"/>
      <c r="B206" s="6" t="s">
        <v>219</v>
      </c>
      <c r="C206" s="6" t="s">
        <v>1155</v>
      </c>
      <c r="D206" s="6" t="s">
        <v>1357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25.5" customHeight="1" x14ac:dyDescent="0.35">
      <c r="A207" s="22"/>
      <c r="B207" s="6" t="s">
        <v>220</v>
      </c>
      <c r="C207" s="6" t="s">
        <v>1079</v>
      </c>
      <c r="D207" s="6" t="s">
        <v>1357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25.5" customHeight="1" x14ac:dyDescent="0.35">
      <c r="A208" s="22"/>
      <c r="B208" s="6" t="s">
        <v>221</v>
      </c>
      <c r="C208" s="6" t="s">
        <v>1197</v>
      </c>
      <c r="D208" s="6" t="s">
        <v>1357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25.5" customHeight="1" x14ac:dyDescent="0.35">
      <c r="A209" s="22"/>
      <c r="B209" s="6" t="s">
        <v>222</v>
      </c>
      <c r="C209" s="6" t="s">
        <v>1199</v>
      </c>
      <c r="D209" s="6" t="s">
        <v>1357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25.5" customHeight="1" x14ac:dyDescent="0.35">
      <c r="A210" s="22"/>
      <c r="B210" s="6" t="s">
        <v>223</v>
      </c>
      <c r="C210" s="6" t="s">
        <v>1200</v>
      </c>
      <c r="D210" s="6" t="s">
        <v>1357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25.5" hidden="1" customHeight="1" x14ac:dyDescent="0.35">
      <c r="A211" s="22"/>
      <c r="B211" s="6" t="s">
        <v>224</v>
      </c>
      <c r="C211" s="6" t="s">
        <v>1047</v>
      </c>
      <c r="D211" s="6">
        <v>200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25.5" customHeight="1" x14ac:dyDescent="0.35">
      <c r="A212" s="22"/>
      <c r="B212" s="6" t="s">
        <v>225</v>
      </c>
      <c r="C212" s="6" t="s">
        <v>1047</v>
      </c>
      <c r="D212" s="6" t="s">
        <v>1357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25.5" customHeight="1" x14ac:dyDescent="0.35">
      <c r="A213" s="22"/>
      <c r="B213" s="6" t="s">
        <v>226</v>
      </c>
      <c r="C213" s="6" t="s">
        <v>1107</v>
      </c>
      <c r="D213" s="6" t="s">
        <v>1357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25.5" customHeight="1" x14ac:dyDescent="0.35">
      <c r="A214" s="22"/>
      <c r="B214" s="6" t="s">
        <v>227</v>
      </c>
      <c r="C214" s="6" t="s">
        <v>1201</v>
      </c>
      <c r="D214" s="6" t="s">
        <v>1357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25.5" customHeight="1" x14ac:dyDescent="0.35">
      <c r="A215" s="22"/>
      <c r="B215" s="6" t="s">
        <v>228</v>
      </c>
      <c r="C215" s="6" t="s">
        <v>1202</v>
      </c>
      <c r="D215" s="6" t="s">
        <v>1357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25.5" customHeight="1" x14ac:dyDescent="0.35">
      <c r="A216" s="22"/>
      <c r="B216" s="6" t="s">
        <v>229</v>
      </c>
      <c r="C216" s="6" t="s">
        <v>1203</v>
      </c>
      <c r="D216" s="6" t="s">
        <v>1358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25.5" customHeight="1" x14ac:dyDescent="0.35">
      <c r="A217" s="22"/>
      <c r="B217" s="6" t="s">
        <v>230</v>
      </c>
      <c r="C217" s="6" t="s">
        <v>1204</v>
      </c>
      <c r="D217" s="6" t="s">
        <v>1357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25.5" customHeight="1" x14ac:dyDescent="0.35">
      <c r="A218" s="22"/>
      <c r="B218" s="6" t="s">
        <v>231</v>
      </c>
      <c r="C218" s="6" t="s">
        <v>1205</v>
      </c>
      <c r="D218" s="6" t="s">
        <v>1357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25.5" customHeight="1" x14ac:dyDescent="0.35">
      <c r="A219" s="22"/>
      <c r="B219" s="6" t="s">
        <v>232</v>
      </c>
      <c r="C219" s="6" t="s">
        <v>1206</v>
      </c>
      <c r="D219" s="6" t="s">
        <v>1357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25.5" customHeight="1" x14ac:dyDescent="0.35">
      <c r="A220" s="22"/>
      <c r="B220" s="6" t="s">
        <v>233</v>
      </c>
      <c r="C220" s="6" t="s">
        <v>1207</v>
      </c>
      <c r="D220" s="6" t="s">
        <v>1357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25.5" customHeight="1" x14ac:dyDescent="0.35">
      <c r="A221" s="22"/>
      <c r="B221" s="6" t="s">
        <v>234</v>
      </c>
      <c r="C221" s="23" t="s">
        <v>1208</v>
      </c>
      <c r="D221" s="6" t="s">
        <v>1357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25.5" hidden="1" customHeight="1" x14ac:dyDescent="0.35">
      <c r="A222" s="22"/>
      <c r="B222" s="6" t="s">
        <v>235</v>
      </c>
      <c r="C222" s="6" t="s">
        <v>1081</v>
      </c>
      <c r="D222" s="6">
        <v>200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25.5" customHeight="1" x14ac:dyDescent="0.35">
      <c r="A223" s="22"/>
      <c r="B223" s="6" t="s">
        <v>236</v>
      </c>
      <c r="C223" s="6" t="s">
        <v>1209</v>
      </c>
      <c r="D223" s="6" t="s">
        <v>1357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25.5" customHeight="1" x14ac:dyDescent="0.35">
      <c r="A224" s="22"/>
      <c r="B224" s="6" t="s">
        <v>237</v>
      </c>
      <c r="C224" s="6" t="s">
        <v>1210</v>
      </c>
      <c r="D224" s="6" t="s">
        <v>1357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25.5" hidden="1" customHeight="1" x14ac:dyDescent="0.35">
      <c r="A225" s="22"/>
      <c r="B225" s="6" t="s">
        <v>238</v>
      </c>
      <c r="C225" s="6" t="s">
        <v>1211</v>
      </c>
      <c r="D225" s="6">
        <v>200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25.5" customHeight="1" x14ac:dyDescent="0.35">
      <c r="A226" s="22"/>
      <c r="B226" s="6" t="s">
        <v>239</v>
      </c>
      <c r="C226" s="6" t="s">
        <v>1212</v>
      </c>
      <c r="D226" s="6" t="s">
        <v>1357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25.5" customHeight="1" x14ac:dyDescent="0.35">
      <c r="A227" s="22"/>
      <c r="B227" s="6" t="s">
        <v>240</v>
      </c>
      <c r="C227" s="6" t="s">
        <v>1213</v>
      </c>
      <c r="D227" s="6" t="s">
        <v>1357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25.5" customHeight="1" x14ac:dyDescent="0.35">
      <c r="A228" s="22"/>
      <c r="B228" s="6" t="s">
        <v>241</v>
      </c>
      <c r="C228" s="6" t="s">
        <v>1079</v>
      </c>
      <c r="D228" s="6" t="s">
        <v>1357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25.5" hidden="1" customHeight="1" x14ac:dyDescent="0.35">
      <c r="A229" s="22"/>
      <c r="B229" s="6" t="s">
        <v>242</v>
      </c>
      <c r="C229" s="23" t="s">
        <v>1214</v>
      </c>
      <c r="D229" s="6">
        <v>200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25.5" customHeight="1" x14ac:dyDescent="0.35">
      <c r="A230" s="22"/>
      <c r="B230" s="6" t="s">
        <v>243</v>
      </c>
      <c r="C230" s="23" t="s">
        <v>1215</v>
      </c>
      <c r="D230" s="6" t="s">
        <v>1357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25.5" customHeight="1" x14ac:dyDescent="0.35">
      <c r="A231" s="22"/>
      <c r="B231" s="6" t="s">
        <v>244</v>
      </c>
      <c r="C231" s="6" t="s">
        <v>1216</v>
      </c>
      <c r="D231" s="6" t="s">
        <v>1357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25.5" customHeight="1" x14ac:dyDescent="0.35">
      <c r="A232" s="22"/>
      <c r="B232" s="6" t="s">
        <v>245</v>
      </c>
      <c r="C232" s="6" t="s">
        <v>1217</v>
      </c>
      <c r="D232" s="6" t="s">
        <v>1357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25.5" customHeight="1" x14ac:dyDescent="0.35">
      <c r="A233" s="22"/>
      <c r="B233" s="6" t="s">
        <v>246</v>
      </c>
      <c r="C233" s="6" t="s">
        <v>1218</v>
      </c>
      <c r="D233" s="6" t="s">
        <v>1357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25.5" hidden="1" customHeight="1" x14ac:dyDescent="0.35">
      <c r="A234" s="22"/>
      <c r="B234" s="6" t="s">
        <v>247</v>
      </c>
      <c r="C234" s="23" t="s">
        <v>1219</v>
      </c>
      <c r="D234" s="6">
        <v>200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25.5" customHeight="1" x14ac:dyDescent="0.35">
      <c r="A235" s="22"/>
      <c r="B235" s="6" t="s">
        <v>248</v>
      </c>
      <c r="C235" s="6" t="s">
        <v>1220</v>
      </c>
      <c r="D235" s="6" t="s">
        <v>1357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25.5" customHeight="1" x14ac:dyDescent="0.35">
      <c r="A236" s="22"/>
      <c r="B236" s="6" t="s">
        <v>249</v>
      </c>
      <c r="C236" s="6" t="s">
        <v>1221</v>
      </c>
      <c r="D236" s="6" t="s">
        <v>1357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25.5" customHeight="1" x14ac:dyDescent="0.35">
      <c r="A237" s="22"/>
      <c r="B237" s="6" t="s">
        <v>250</v>
      </c>
      <c r="C237" s="6" t="s">
        <v>1136</v>
      </c>
      <c r="D237" s="6" t="s">
        <v>1358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25.5" hidden="1" customHeight="1" x14ac:dyDescent="0.35">
      <c r="A238" s="22"/>
      <c r="B238" s="6" t="s">
        <v>251</v>
      </c>
      <c r="C238" s="6" t="s">
        <v>1222</v>
      </c>
      <c r="D238" s="6">
        <v>200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25.5" customHeight="1" x14ac:dyDescent="0.35">
      <c r="A239" s="22"/>
      <c r="B239" s="6" t="s">
        <v>252</v>
      </c>
      <c r="C239" s="6" t="s">
        <v>1223</v>
      </c>
      <c r="D239" s="6" t="s">
        <v>1358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25.5" customHeight="1" x14ac:dyDescent="0.35">
      <c r="A240" s="22"/>
      <c r="B240" s="6" t="s">
        <v>253</v>
      </c>
      <c r="C240" s="6" t="s">
        <v>1224</v>
      </c>
      <c r="D240" s="6" t="s">
        <v>1357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25.5" customHeight="1" x14ac:dyDescent="0.35">
      <c r="A241" s="22"/>
      <c r="B241" s="6" t="s">
        <v>254</v>
      </c>
      <c r="C241" s="6" t="s">
        <v>1225</v>
      </c>
      <c r="D241" s="6" t="s">
        <v>1357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25.5" customHeight="1" x14ac:dyDescent="0.35">
      <c r="A242" s="22"/>
      <c r="B242" s="6" t="s">
        <v>255</v>
      </c>
      <c r="C242" s="6" t="s">
        <v>1226</v>
      </c>
      <c r="D242" s="6" t="s">
        <v>1357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25.5" customHeight="1" x14ac:dyDescent="0.35">
      <c r="A243" s="22"/>
      <c r="B243" s="6" t="s">
        <v>256</v>
      </c>
      <c r="C243" s="6" t="s">
        <v>1227</v>
      </c>
      <c r="D243" s="6" t="s">
        <v>1357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25.5" customHeight="1" x14ac:dyDescent="0.35">
      <c r="A244" s="22"/>
      <c r="B244" s="6" t="s">
        <v>257</v>
      </c>
      <c r="C244" s="23" t="s">
        <v>1228</v>
      </c>
      <c r="D244" s="6" t="s">
        <v>1357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25.5" customHeight="1" x14ac:dyDescent="0.35">
      <c r="A245" s="22"/>
      <c r="B245" s="6" t="s">
        <v>258</v>
      </c>
      <c r="C245" s="6" t="s">
        <v>1062</v>
      </c>
      <c r="D245" s="6" t="s">
        <v>1357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25.5" customHeight="1" x14ac:dyDescent="0.35">
      <c r="A246" s="22"/>
      <c r="B246" s="6" t="s">
        <v>259</v>
      </c>
      <c r="C246" s="6" t="s">
        <v>1141</v>
      </c>
      <c r="D246" s="6" t="s">
        <v>1357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25.5" customHeight="1" x14ac:dyDescent="0.35">
      <c r="A247" s="22"/>
      <c r="B247" s="6" t="s">
        <v>260</v>
      </c>
      <c r="C247" s="6" t="s">
        <v>1227</v>
      </c>
      <c r="D247" s="6" t="s">
        <v>1358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25.5" customHeight="1" x14ac:dyDescent="0.35">
      <c r="A248" s="22"/>
      <c r="B248" s="6" t="s">
        <v>262</v>
      </c>
      <c r="C248" s="6" t="s">
        <v>1229</v>
      </c>
      <c r="D248" s="6" t="s">
        <v>1357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25.5" customHeight="1" x14ac:dyDescent="0.35">
      <c r="A249" s="22"/>
      <c r="B249" s="6" t="s">
        <v>263</v>
      </c>
      <c r="C249" s="24" t="s">
        <v>1230</v>
      </c>
      <c r="D249" s="6" t="s">
        <v>1357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25.5" customHeight="1" x14ac:dyDescent="0.35">
      <c r="A250" s="22"/>
      <c r="B250" s="6" t="s">
        <v>264</v>
      </c>
      <c r="C250" s="23" t="s">
        <v>1231</v>
      </c>
      <c r="D250" s="6" t="s">
        <v>1357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25.5" customHeight="1" x14ac:dyDescent="0.35">
      <c r="A251" s="22"/>
      <c r="B251" s="6" t="s">
        <v>265</v>
      </c>
      <c r="C251" s="6" t="s">
        <v>1232</v>
      </c>
      <c r="D251" s="6" t="s">
        <v>1357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25.5" hidden="1" customHeight="1" x14ac:dyDescent="0.35">
      <c r="A252" s="22"/>
      <c r="B252" s="6" t="s">
        <v>266</v>
      </c>
      <c r="C252" s="6" t="s">
        <v>1233</v>
      </c>
      <c r="D252" s="6">
        <v>200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25.5" customHeight="1" x14ac:dyDescent="0.35">
      <c r="A253" s="22"/>
      <c r="B253" s="6" t="s">
        <v>267</v>
      </c>
      <c r="C253" s="6" t="s">
        <v>1234</v>
      </c>
      <c r="D253" s="6" t="s">
        <v>1357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25.5" hidden="1" customHeight="1" x14ac:dyDescent="0.35">
      <c r="A254" s="22"/>
      <c r="B254" s="6" t="s">
        <v>268</v>
      </c>
      <c r="C254" s="6" t="s">
        <v>1235</v>
      </c>
      <c r="D254" s="6">
        <v>200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25.5" customHeight="1" x14ac:dyDescent="0.35">
      <c r="A255" s="22"/>
      <c r="B255" s="6" t="s">
        <v>269</v>
      </c>
      <c r="C255" s="6" t="s">
        <v>1236</v>
      </c>
      <c r="D255" s="6" t="s">
        <v>1357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25.5" hidden="1" customHeight="1" x14ac:dyDescent="0.35">
      <c r="A256" s="22"/>
      <c r="B256" s="6" t="s">
        <v>270</v>
      </c>
      <c r="C256" s="6" t="s">
        <v>1237</v>
      </c>
      <c r="D256" s="6">
        <v>200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25.5" customHeight="1" x14ac:dyDescent="0.35">
      <c r="A257" s="22"/>
      <c r="B257" s="6" t="s">
        <v>271</v>
      </c>
      <c r="C257" s="6" t="s">
        <v>1141</v>
      </c>
      <c r="D257" s="6" t="s">
        <v>1357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25.5" customHeight="1" x14ac:dyDescent="0.35">
      <c r="A258" s="22"/>
      <c r="B258" s="6" t="s">
        <v>272</v>
      </c>
      <c r="C258" s="6" t="s">
        <v>1238</v>
      </c>
      <c r="D258" s="6" t="s">
        <v>1358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25.5" customHeight="1" x14ac:dyDescent="0.35">
      <c r="A259" s="22"/>
      <c r="B259" s="6" t="s">
        <v>273</v>
      </c>
      <c r="C259" s="6" t="s">
        <v>1239</v>
      </c>
      <c r="D259" s="6" t="s">
        <v>1357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25.5" customHeight="1" x14ac:dyDescent="0.35">
      <c r="A260" s="22"/>
      <c r="B260" s="6" t="s">
        <v>274</v>
      </c>
      <c r="C260" s="23" t="s">
        <v>1112</v>
      </c>
      <c r="D260" s="6" t="s">
        <v>1357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25.5" customHeight="1" x14ac:dyDescent="0.35">
      <c r="A261" s="22"/>
      <c r="B261" s="6" t="s">
        <v>275</v>
      </c>
      <c r="C261" s="6" t="s">
        <v>1207</v>
      </c>
      <c r="D261" s="6" t="s">
        <v>1357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25.5" customHeight="1" x14ac:dyDescent="0.35">
      <c r="A262" s="22"/>
      <c r="B262" s="6" t="s">
        <v>276</v>
      </c>
      <c r="C262" s="6" t="s">
        <v>1240</v>
      </c>
      <c r="D262" s="6" t="s">
        <v>1357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25.5" customHeight="1" x14ac:dyDescent="0.35">
      <c r="A263" s="22"/>
      <c r="B263" s="6" t="s">
        <v>277</v>
      </c>
      <c r="C263" s="6" t="s">
        <v>1099</v>
      </c>
      <c r="D263" s="6" t="s">
        <v>1357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25.5" customHeight="1" x14ac:dyDescent="0.35">
      <c r="A264" s="22"/>
      <c r="B264" s="6" t="s">
        <v>278</v>
      </c>
      <c r="C264" s="6" t="s">
        <v>1167</v>
      </c>
      <c r="D264" s="6" t="s">
        <v>1357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25.5" customHeight="1" x14ac:dyDescent="0.35">
      <c r="A265" s="22"/>
      <c r="B265" s="6" t="s">
        <v>279</v>
      </c>
      <c r="C265" s="6" t="s">
        <v>1241</v>
      </c>
      <c r="D265" s="6" t="s">
        <v>1357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25.5" customHeight="1" x14ac:dyDescent="0.35">
      <c r="A266" s="22"/>
      <c r="B266" s="6" t="s">
        <v>280</v>
      </c>
      <c r="C266" s="6" t="s">
        <v>1242</v>
      </c>
      <c r="D266" s="6" t="s">
        <v>1357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25.5" customHeight="1" x14ac:dyDescent="0.35">
      <c r="A267" s="22"/>
      <c r="B267" s="6" t="s">
        <v>281</v>
      </c>
      <c r="C267" s="6" t="s">
        <v>1045</v>
      </c>
      <c r="D267" s="6" t="s">
        <v>1357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25.5" customHeight="1" x14ac:dyDescent="0.35">
      <c r="A268" s="22"/>
      <c r="B268" s="6" t="s">
        <v>282</v>
      </c>
      <c r="C268" s="6" t="s">
        <v>1045</v>
      </c>
      <c r="D268" s="6" t="s">
        <v>1357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25.5" customHeight="1" x14ac:dyDescent="0.35">
      <c r="A269" s="22"/>
      <c r="B269" s="6" t="s">
        <v>283</v>
      </c>
      <c r="C269" s="6" t="s">
        <v>11</v>
      </c>
      <c r="D269" s="6" t="s">
        <v>1357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25.5" customHeight="1" x14ac:dyDescent="0.35">
      <c r="A270" s="22"/>
      <c r="B270" s="6" t="s">
        <v>284</v>
      </c>
      <c r="C270" s="6" t="s">
        <v>1139</v>
      </c>
      <c r="D270" s="6" t="s">
        <v>1357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25.5" customHeight="1" x14ac:dyDescent="0.35">
      <c r="A271" s="22"/>
      <c r="B271" s="6" t="s">
        <v>285</v>
      </c>
      <c r="C271" s="6" t="s">
        <v>1079</v>
      </c>
      <c r="D271" s="6" t="s">
        <v>1358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25.5" customHeight="1" x14ac:dyDescent="0.35">
      <c r="A272" s="22"/>
      <c r="B272" s="6" t="s">
        <v>286</v>
      </c>
      <c r="C272" s="6" t="s">
        <v>1079</v>
      </c>
      <c r="D272" s="6" t="s">
        <v>1357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25.5" hidden="1" customHeight="1" x14ac:dyDescent="0.35">
      <c r="A273" s="22"/>
      <c r="B273" s="6" t="s">
        <v>287</v>
      </c>
      <c r="C273" s="6" t="s">
        <v>1079</v>
      </c>
      <c r="D273" s="6">
        <v>200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25.5" hidden="1" customHeight="1" x14ac:dyDescent="0.35">
      <c r="A274" s="22"/>
      <c r="B274" s="6" t="s">
        <v>288</v>
      </c>
      <c r="C274" s="6" t="s">
        <v>1079</v>
      </c>
      <c r="D274" s="6">
        <v>200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25.5" hidden="1" customHeight="1" x14ac:dyDescent="0.35">
      <c r="A275" s="22"/>
      <c r="B275" s="6" t="s">
        <v>289</v>
      </c>
      <c r="C275" s="6" t="s">
        <v>1079</v>
      </c>
      <c r="D275" s="6">
        <v>200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25.5" hidden="1" customHeight="1" x14ac:dyDescent="0.35">
      <c r="A276" s="22"/>
      <c r="B276" s="6" t="s">
        <v>290</v>
      </c>
      <c r="C276" s="6" t="s">
        <v>1079</v>
      </c>
      <c r="D276" s="6">
        <v>200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25.5" customHeight="1" x14ac:dyDescent="0.35">
      <c r="A277" s="22"/>
      <c r="B277" s="6" t="s">
        <v>291</v>
      </c>
      <c r="C277" s="6" t="s">
        <v>1079</v>
      </c>
      <c r="D277" s="6" t="s">
        <v>1357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25.5" customHeight="1" x14ac:dyDescent="0.35">
      <c r="A278" s="22"/>
      <c r="B278" s="6" t="s">
        <v>292</v>
      </c>
      <c r="C278" s="6" t="s">
        <v>1079</v>
      </c>
      <c r="D278" s="6">
        <v>404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25.5" customHeight="1" x14ac:dyDescent="0.35">
      <c r="A279" s="22"/>
      <c r="B279" s="6" t="s">
        <v>293</v>
      </c>
      <c r="C279" s="6" t="s">
        <v>1243</v>
      </c>
      <c r="D279" s="6" t="s">
        <v>1357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25.5" customHeight="1" x14ac:dyDescent="0.35">
      <c r="A280" s="22"/>
      <c r="B280" s="6" t="s">
        <v>294</v>
      </c>
      <c r="C280" s="6" t="s">
        <v>1047</v>
      </c>
      <c r="D280" s="6" t="s">
        <v>1357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25.5" hidden="1" customHeight="1" x14ac:dyDescent="0.35">
      <c r="A281" s="22"/>
      <c r="B281" s="6" t="s">
        <v>295</v>
      </c>
      <c r="C281" s="6" t="s">
        <v>1047</v>
      </c>
      <c r="D281" s="6" t="s">
        <v>1359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25.5" customHeight="1" x14ac:dyDescent="0.35">
      <c r="A282" s="22"/>
      <c r="B282" s="6" t="s">
        <v>296</v>
      </c>
      <c r="C282" s="6" t="s">
        <v>1047</v>
      </c>
      <c r="D282" s="6" t="s">
        <v>1357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25.5" customHeight="1" x14ac:dyDescent="0.35">
      <c r="A283" s="22"/>
      <c r="B283" s="6" t="s">
        <v>297</v>
      </c>
      <c r="C283" s="6" t="s">
        <v>1047</v>
      </c>
      <c r="D283" s="6" t="s">
        <v>1357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25.5" customHeight="1" x14ac:dyDescent="0.35">
      <c r="A284" s="22"/>
      <c r="B284" s="6" t="s">
        <v>298</v>
      </c>
      <c r="C284" s="6" t="s">
        <v>1047</v>
      </c>
      <c r="D284" s="6" t="s">
        <v>1357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25.5" customHeight="1" x14ac:dyDescent="0.35">
      <c r="A285" s="22"/>
      <c r="B285" s="6" t="s">
        <v>299</v>
      </c>
      <c r="C285" s="6" t="s">
        <v>1047</v>
      </c>
      <c r="D285" s="6" t="s">
        <v>1357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25.5" customHeight="1" x14ac:dyDescent="0.35">
      <c r="A286" s="22"/>
      <c r="B286" s="6" t="s">
        <v>300</v>
      </c>
      <c r="C286" s="6" t="s">
        <v>1047</v>
      </c>
      <c r="D286" s="6" t="s">
        <v>1357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25.5" customHeight="1" x14ac:dyDescent="0.35">
      <c r="A287" s="22"/>
      <c r="B287" s="6" t="s">
        <v>301</v>
      </c>
      <c r="C287" s="6" t="s">
        <v>1047</v>
      </c>
      <c r="D287" s="6" t="s">
        <v>1357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25.5" customHeight="1" x14ac:dyDescent="0.35">
      <c r="A288" s="22"/>
      <c r="B288" s="6" t="s">
        <v>302</v>
      </c>
      <c r="C288" s="6" t="s">
        <v>1047</v>
      </c>
      <c r="D288" s="6" t="s">
        <v>1357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25.5" hidden="1" customHeight="1" x14ac:dyDescent="0.35">
      <c r="A289" s="22"/>
      <c r="B289" s="6" t="s">
        <v>303</v>
      </c>
      <c r="C289" s="6" t="s">
        <v>1047</v>
      </c>
      <c r="D289" s="6">
        <v>200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25.5" customHeight="1" x14ac:dyDescent="0.35">
      <c r="A290" s="22"/>
      <c r="B290" s="6" t="s">
        <v>304</v>
      </c>
      <c r="C290" s="6" t="s">
        <v>1244</v>
      </c>
      <c r="D290" s="6" t="s">
        <v>1357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25.5" customHeight="1" x14ac:dyDescent="0.35">
      <c r="A291" s="22"/>
      <c r="B291" s="6" t="s">
        <v>305</v>
      </c>
      <c r="C291" s="6" t="s">
        <v>1245</v>
      </c>
      <c r="D291" s="6" t="s">
        <v>1357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25.5" customHeight="1" x14ac:dyDescent="0.35">
      <c r="A292" s="22"/>
      <c r="B292" s="6" t="s">
        <v>306</v>
      </c>
      <c r="C292" s="6" t="s">
        <v>1246</v>
      </c>
      <c r="D292" s="6" t="s">
        <v>1357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25.5" hidden="1" customHeight="1" x14ac:dyDescent="0.35">
      <c r="A293" s="22"/>
      <c r="B293" s="6" t="s">
        <v>307</v>
      </c>
      <c r="C293" s="6" t="s">
        <v>1099</v>
      </c>
      <c r="D293" s="6">
        <v>200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25.5" customHeight="1" x14ac:dyDescent="0.35">
      <c r="A294" s="22"/>
      <c r="B294" s="6" t="s">
        <v>308</v>
      </c>
      <c r="C294" s="6" t="s">
        <v>1079</v>
      </c>
      <c r="D294" s="6" t="s">
        <v>1358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25.5" customHeight="1" x14ac:dyDescent="0.35">
      <c r="A295" s="22"/>
      <c r="B295" s="6" t="s">
        <v>309</v>
      </c>
      <c r="C295" s="6" t="s">
        <v>1247</v>
      </c>
      <c r="D295" s="6" t="s">
        <v>1357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25.5" customHeight="1" x14ac:dyDescent="0.35">
      <c r="A296" s="22"/>
      <c r="B296" s="6" t="s">
        <v>310</v>
      </c>
      <c r="C296" s="23" t="s">
        <v>1112</v>
      </c>
      <c r="D296" s="6" t="s">
        <v>1357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25.5" customHeight="1" x14ac:dyDescent="0.35">
      <c r="A297" s="22"/>
      <c r="B297" s="6" t="s">
        <v>311</v>
      </c>
      <c r="C297" s="6" t="s">
        <v>1248</v>
      </c>
      <c r="D297" s="6" t="s">
        <v>1357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25.5" customHeight="1" x14ac:dyDescent="0.35">
      <c r="A298" s="22"/>
      <c r="B298" s="6" t="s">
        <v>312</v>
      </c>
      <c r="C298" s="6" t="s">
        <v>1249</v>
      </c>
      <c r="D298" s="6" t="s">
        <v>1357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25.5" customHeight="1" x14ac:dyDescent="0.35">
      <c r="A299" s="22"/>
      <c r="B299" s="6" t="s">
        <v>313</v>
      </c>
      <c r="C299" s="6" t="s">
        <v>1250</v>
      </c>
      <c r="D299" s="6" t="s">
        <v>1357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25.5" customHeight="1" x14ac:dyDescent="0.35">
      <c r="A300" s="22"/>
      <c r="B300" s="6" t="s">
        <v>314</v>
      </c>
      <c r="C300" s="6" t="s">
        <v>1251</v>
      </c>
      <c r="D300" s="6" t="s">
        <v>1357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25.5" hidden="1" customHeight="1" x14ac:dyDescent="0.35">
      <c r="A301" s="22"/>
      <c r="B301" s="6" t="s">
        <v>315</v>
      </c>
      <c r="C301" s="6" t="s">
        <v>1252</v>
      </c>
      <c r="D301" s="6">
        <v>200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25.5" customHeight="1" x14ac:dyDescent="0.35">
      <c r="A302" s="22"/>
      <c r="B302" s="6" t="s">
        <v>316</v>
      </c>
      <c r="C302" s="6" t="s">
        <v>1253</v>
      </c>
      <c r="D302" s="6" t="s">
        <v>1357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25.5" customHeight="1" x14ac:dyDescent="0.35">
      <c r="A303" s="22"/>
      <c r="B303" s="6" t="s">
        <v>317</v>
      </c>
      <c r="C303" s="6" t="s">
        <v>1207</v>
      </c>
      <c r="D303" s="6" t="s">
        <v>1357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25.5" customHeight="1" x14ac:dyDescent="0.35">
      <c r="A304" s="22"/>
      <c r="B304" s="6" t="s">
        <v>318</v>
      </c>
      <c r="C304" s="6" t="s">
        <v>1254</v>
      </c>
      <c r="D304" s="6" t="s">
        <v>1358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25.5" customHeight="1" x14ac:dyDescent="0.35">
      <c r="A305" s="22"/>
      <c r="B305" s="6" t="s">
        <v>319</v>
      </c>
      <c r="C305" s="6" t="s">
        <v>1255</v>
      </c>
      <c r="D305" s="6" t="s">
        <v>1357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25.5" hidden="1" customHeight="1" x14ac:dyDescent="0.35">
      <c r="A306" s="22"/>
      <c r="B306" s="6" t="s">
        <v>320</v>
      </c>
      <c r="C306" s="23" t="s">
        <v>1256</v>
      </c>
      <c r="D306" s="6">
        <v>200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25.5" customHeight="1" x14ac:dyDescent="0.35">
      <c r="A307" s="22"/>
      <c r="B307" s="6" t="s">
        <v>321</v>
      </c>
      <c r="C307" s="6" t="s">
        <v>1257</v>
      </c>
      <c r="D307" s="6" t="s">
        <v>1357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25.5" customHeight="1" x14ac:dyDescent="0.35">
      <c r="A308" s="22"/>
      <c r="B308" s="6" t="s">
        <v>322</v>
      </c>
      <c r="C308" s="6" t="s">
        <v>1081</v>
      </c>
      <c r="D308" s="6" t="s">
        <v>1357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25.5" customHeight="1" x14ac:dyDescent="0.35">
      <c r="A309" s="22"/>
      <c r="B309" s="6" t="s">
        <v>323</v>
      </c>
      <c r="C309" s="6" t="s">
        <v>1258</v>
      </c>
      <c r="D309" s="6" t="s">
        <v>1357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25.5" customHeight="1" x14ac:dyDescent="0.35">
      <c r="A310" s="22"/>
      <c r="B310" s="6" t="s">
        <v>324</v>
      </c>
      <c r="C310" s="6" t="s">
        <v>1259</v>
      </c>
      <c r="D310" s="6" t="s">
        <v>1357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25.5" customHeight="1" x14ac:dyDescent="0.35">
      <c r="A311" s="22"/>
      <c r="B311" s="6" t="s">
        <v>325</v>
      </c>
      <c r="C311" s="6" t="s">
        <v>1079</v>
      </c>
      <c r="D311" s="6" t="s">
        <v>1358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25.5" customHeight="1" x14ac:dyDescent="0.35">
      <c r="A312" s="22"/>
      <c r="B312" s="6" t="s">
        <v>326</v>
      </c>
      <c r="C312" s="6" t="s">
        <v>1260</v>
      </c>
      <c r="D312" s="6" t="s">
        <v>1357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25.5" customHeight="1" x14ac:dyDescent="0.35">
      <c r="A313" s="22"/>
      <c r="B313" s="6" t="s">
        <v>327</v>
      </c>
      <c r="C313" s="23" t="s">
        <v>1261</v>
      </c>
      <c r="D313" s="6" t="s">
        <v>1357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25.5" customHeight="1" x14ac:dyDescent="0.35">
      <c r="A314" s="22"/>
      <c r="B314" s="6" t="s">
        <v>328</v>
      </c>
      <c r="C314" s="6" t="s">
        <v>1262</v>
      </c>
      <c r="D314" s="6" t="s">
        <v>1357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25.5" customHeight="1" x14ac:dyDescent="0.35">
      <c r="A315" s="22"/>
      <c r="B315" s="6" t="s">
        <v>329</v>
      </c>
      <c r="C315" s="6" t="s">
        <v>1263</v>
      </c>
      <c r="D315" s="6" t="s">
        <v>1357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25.5" customHeight="1" x14ac:dyDescent="0.35">
      <c r="A316" s="22"/>
      <c r="B316" s="6" t="s">
        <v>330</v>
      </c>
      <c r="C316" s="6" t="s">
        <v>1264</v>
      </c>
      <c r="D316" s="6" t="s">
        <v>1357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25.5" customHeight="1" x14ac:dyDescent="0.35">
      <c r="A317" s="22"/>
      <c r="B317" s="6" t="s">
        <v>331</v>
      </c>
      <c r="C317" s="6" t="s">
        <v>1265</v>
      </c>
      <c r="D317" s="6" t="s">
        <v>1358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25.5" customHeight="1" x14ac:dyDescent="0.35">
      <c r="A318" s="22"/>
      <c r="B318" s="6" t="s">
        <v>332</v>
      </c>
      <c r="C318" s="6" t="s">
        <v>1266</v>
      </c>
      <c r="D318" s="6" t="s">
        <v>1357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25.5" customHeight="1" x14ac:dyDescent="0.35">
      <c r="A319" s="22"/>
      <c r="B319" s="6" t="s">
        <v>333</v>
      </c>
      <c r="C319" s="6" t="s">
        <v>1267</v>
      </c>
      <c r="D319" s="6" t="s">
        <v>1358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25.5" customHeight="1" x14ac:dyDescent="0.35">
      <c r="A320" s="22"/>
      <c r="B320" s="6" t="s">
        <v>334</v>
      </c>
      <c r="C320" s="6" t="s">
        <v>1268</v>
      </c>
      <c r="D320" s="6" t="s">
        <v>1357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25.5" customHeight="1" x14ac:dyDescent="0.35">
      <c r="A321" s="22"/>
      <c r="B321" s="6" t="s">
        <v>335</v>
      </c>
      <c r="C321" s="6" t="s">
        <v>1269</v>
      </c>
      <c r="D321" s="6" t="s">
        <v>1357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25.5" customHeight="1" x14ac:dyDescent="0.35">
      <c r="A322" s="22"/>
      <c r="B322" s="6" t="s">
        <v>336</v>
      </c>
      <c r="C322" s="23" t="s">
        <v>1270</v>
      </c>
      <c r="D322" s="6" t="s">
        <v>1357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25.5" customHeight="1" x14ac:dyDescent="0.35">
      <c r="A323" s="22"/>
      <c r="B323" s="6" t="s">
        <v>337</v>
      </c>
      <c r="C323" s="23" t="s">
        <v>1214</v>
      </c>
      <c r="D323" s="6" t="s">
        <v>1357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25.5" customHeight="1" x14ac:dyDescent="0.35">
      <c r="A324" s="22"/>
      <c r="B324" s="6" t="s">
        <v>338</v>
      </c>
      <c r="C324" s="6" t="s">
        <v>1271</v>
      </c>
      <c r="D324" s="6" t="s">
        <v>1357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25.5" hidden="1" customHeight="1" x14ac:dyDescent="0.35">
      <c r="A325" s="22"/>
      <c r="B325" s="6" t="s">
        <v>339</v>
      </c>
      <c r="C325" s="6" t="s">
        <v>1272</v>
      </c>
      <c r="D325" s="6">
        <v>200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25.5" customHeight="1" x14ac:dyDescent="0.35">
      <c r="A326" s="22"/>
      <c r="B326" s="6" t="s">
        <v>340</v>
      </c>
      <c r="C326" s="6" t="s">
        <v>1079</v>
      </c>
      <c r="D326" s="6" t="s">
        <v>1357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25.5" customHeight="1" x14ac:dyDescent="0.35">
      <c r="A327" s="22"/>
      <c r="B327" s="6" t="s">
        <v>341</v>
      </c>
      <c r="C327" s="6" t="s">
        <v>1273</v>
      </c>
      <c r="D327" s="6" t="s">
        <v>1357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25.5" customHeight="1" x14ac:dyDescent="0.35">
      <c r="A328" s="22"/>
      <c r="B328" s="6" t="s">
        <v>342</v>
      </c>
      <c r="C328" s="6" t="s">
        <v>1274</v>
      </c>
      <c r="D328" s="6" t="s">
        <v>1357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25.5" customHeight="1" x14ac:dyDescent="0.35">
      <c r="A329" s="22"/>
      <c r="B329" s="6" t="s">
        <v>343</v>
      </c>
      <c r="C329" s="6" t="s">
        <v>1275</v>
      </c>
      <c r="D329" s="6" t="s">
        <v>1357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25.5" customHeight="1" x14ac:dyDescent="0.35">
      <c r="A330" s="22"/>
      <c r="B330" s="6" t="s">
        <v>344</v>
      </c>
      <c r="C330" s="23" t="s">
        <v>1079</v>
      </c>
      <c r="D330" s="6" t="s">
        <v>1357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25.5" customHeight="1" x14ac:dyDescent="0.35">
      <c r="A331" s="22"/>
      <c r="B331" s="6" t="s">
        <v>345</v>
      </c>
      <c r="C331" s="6" t="s">
        <v>1276</v>
      </c>
      <c r="D331" s="6" t="s">
        <v>1357</v>
      </c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25.5" customHeight="1" x14ac:dyDescent="0.35">
      <c r="A332" s="22"/>
      <c r="B332" s="6" t="s">
        <v>346</v>
      </c>
      <c r="C332" s="6" t="s">
        <v>1277</v>
      </c>
      <c r="D332" s="6" t="s">
        <v>1357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25.5" customHeight="1" x14ac:dyDescent="0.35">
      <c r="A333" s="22"/>
      <c r="B333" s="6" t="s">
        <v>347</v>
      </c>
      <c r="C333" s="6" t="s">
        <v>1278</v>
      </c>
      <c r="D333" s="6" t="s">
        <v>1357</v>
      </c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25.5" customHeight="1" x14ac:dyDescent="0.35">
      <c r="A334" s="22"/>
      <c r="B334" s="6" t="s">
        <v>348</v>
      </c>
      <c r="C334" s="6" t="s">
        <v>1279</v>
      </c>
      <c r="D334" s="6" t="s">
        <v>1357</v>
      </c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25.5" customHeight="1" x14ac:dyDescent="0.35">
      <c r="A335" s="22"/>
      <c r="B335" s="6" t="s">
        <v>349</v>
      </c>
      <c r="C335" s="6" t="s">
        <v>1079</v>
      </c>
      <c r="D335" s="6" t="s">
        <v>1357</v>
      </c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25.5" customHeight="1" x14ac:dyDescent="0.35">
      <c r="A336" s="22"/>
      <c r="B336" s="6" t="s">
        <v>350</v>
      </c>
      <c r="C336" s="23" t="s">
        <v>1280</v>
      </c>
      <c r="D336" s="6" t="s">
        <v>1358</v>
      </c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25.5" customHeight="1" x14ac:dyDescent="0.35">
      <c r="A337" s="22"/>
      <c r="B337" s="6" t="s">
        <v>351</v>
      </c>
      <c r="C337" s="6" t="s">
        <v>1281</v>
      </c>
      <c r="D337" s="6" t="s">
        <v>1357</v>
      </c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25.5" customHeight="1" x14ac:dyDescent="0.35">
      <c r="A338" s="22"/>
      <c r="B338" s="6" t="s">
        <v>352</v>
      </c>
      <c r="C338" s="6" t="s">
        <v>1281</v>
      </c>
      <c r="D338" s="6" t="s">
        <v>1357</v>
      </c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25.5" customHeight="1" x14ac:dyDescent="0.35">
      <c r="A339" s="22"/>
      <c r="B339" s="6" t="s">
        <v>353</v>
      </c>
      <c r="C339" s="6" t="s">
        <v>1282</v>
      </c>
      <c r="D339" s="6" t="s">
        <v>1357</v>
      </c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25.5" customHeight="1" x14ac:dyDescent="0.35">
      <c r="A340" s="22"/>
      <c r="B340" s="6" t="s">
        <v>354</v>
      </c>
      <c r="C340" s="6" t="s">
        <v>1283</v>
      </c>
      <c r="D340" s="6" t="s">
        <v>1357</v>
      </c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25.5" customHeight="1" x14ac:dyDescent="0.35">
      <c r="A341" s="22"/>
      <c r="B341" s="6" t="s">
        <v>355</v>
      </c>
      <c r="C341" s="6" t="s">
        <v>1284</v>
      </c>
      <c r="D341" s="6" t="s">
        <v>1357</v>
      </c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25.5" customHeight="1" x14ac:dyDescent="0.35">
      <c r="A342" s="22"/>
      <c r="B342" s="6" t="s">
        <v>356</v>
      </c>
      <c r="C342" s="6" t="s">
        <v>1285</v>
      </c>
      <c r="D342" s="6" t="s">
        <v>1357</v>
      </c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25.5" customHeight="1" x14ac:dyDescent="0.35">
      <c r="A343" s="22"/>
      <c r="B343" s="6" t="s">
        <v>357</v>
      </c>
      <c r="C343" s="6" t="s">
        <v>1286</v>
      </c>
      <c r="D343" s="6" t="s">
        <v>1357</v>
      </c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25.5" customHeight="1" x14ac:dyDescent="0.35">
      <c r="A344" s="22"/>
      <c r="B344" s="6" t="s">
        <v>358</v>
      </c>
      <c r="C344" s="6" t="s">
        <v>1287</v>
      </c>
      <c r="D344" s="6" t="s">
        <v>1357</v>
      </c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25.5" customHeight="1" x14ac:dyDescent="0.35">
      <c r="A345" s="22"/>
      <c r="B345" s="6" t="s">
        <v>359</v>
      </c>
      <c r="C345" s="6" t="s">
        <v>1288</v>
      </c>
      <c r="D345" s="6" t="s">
        <v>1357</v>
      </c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25.5" customHeight="1" x14ac:dyDescent="0.35">
      <c r="A346" s="22"/>
      <c r="B346" s="6" t="s">
        <v>360</v>
      </c>
      <c r="C346" s="6" t="s">
        <v>1289</v>
      </c>
      <c r="D346" s="6" t="s">
        <v>1357</v>
      </c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25.5" customHeight="1" x14ac:dyDescent="0.35">
      <c r="A347" s="22"/>
      <c r="B347" s="6" t="s">
        <v>361</v>
      </c>
      <c r="C347" s="6" t="s">
        <v>1290</v>
      </c>
      <c r="D347" s="6" t="s">
        <v>1357</v>
      </c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25.5" hidden="1" customHeight="1" x14ac:dyDescent="0.35">
      <c r="A348" s="22"/>
      <c r="B348" s="6" t="s">
        <v>362</v>
      </c>
      <c r="C348" s="23" t="s">
        <v>1291</v>
      </c>
      <c r="D348" s="6">
        <v>200</v>
      </c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25.5" hidden="1" customHeight="1" x14ac:dyDescent="0.35">
      <c r="A349" s="22"/>
      <c r="B349" s="6" t="s">
        <v>363</v>
      </c>
      <c r="C349" s="6" t="s">
        <v>1292</v>
      </c>
      <c r="D349" s="6">
        <v>200</v>
      </c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25.5" customHeight="1" x14ac:dyDescent="0.35">
      <c r="A350" s="22"/>
      <c r="B350" s="6" t="s">
        <v>364</v>
      </c>
      <c r="C350" s="6" t="s">
        <v>1293</v>
      </c>
      <c r="D350" s="6" t="s">
        <v>1357</v>
      </c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25.5" customHeight="1" x14ac:dyDescent="0.35">
      <c r="A351" s="22"/>
      <c r="B351" s="6" t="s">
        <v>365</v>
      </c>
      <c r="C351" s="6" t="s">
        <v>1294</v>
      </c>
      <c r="D351" s="6" t="s">
        <v>1358</v>
      </c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25.5" customHeight="1" x14ac:dyDescent="0.35">
      <c r="A352" s="22"/>
      <c r="B352" s="6" t="s">
        <v>366</v>
      </c>
      <c r="C352" s="6" t="s">
        <v>1295</v>
      </c>
      <c r="D352" s="6" t="s">
        <v>1357</v>
      </c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25.5" customHeight="1" x14ac:dyDescent="0.35">
      <c r="A353" s="22"/>
      <c r="B353" s="6" t="s">
        <v>367</v>
      </c>
      <c r="C353" s="6" t="s">
        <v>1296</v>
      </c>
      <c r="D353" s="6" t="s">
        <v>1357</v>
      </c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25.5" customHeight="1" x14ac:dyDescent="0.35">
      <c r="A354" s="22"/>
      <c r="B354" s="6" t="s">
        <v>368</v>
      </c>
      <c r="C354" s="23" t="s">
        <v>1297</v>
      </c>
      <c r="D354" s="6" t="s">
        <v>1357</v>
      </c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25.5" customHeight="1" x14ac:dyDescent="0.35">
      <c r="A355" s="22"/>
      <c r="B355" s="6" t="s">
        <v>369</v>
      </c>
      <c r="C355" s="6" t="s">
        <v>1298</v>
      </c>
      <c r="D355" s="6" t="s">
        <v>1357</v>
      </c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25.5" hidden="1" customHeight="1" x14ac:dyDescent="0.35">
      <c r="A356" s="22"/>
      <c r="B356" s="6" t="s">
        <v>370</v>
      </c>
      <c r="C356" s="6" t="s">
        <v>1299</v>
      </c>
      <c r="D356" s="6">
        <v>200</v>
      </c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25.5" hidden="1" customHeight="1" x14ac:dyDescent="0.35">
      <c r="A357" s="22"/>
      <c r="B357" s="6" t="s">
        <v>371</v>
      </c>
      <c r="C357" s="6" t="s">
        <v>1300</v>
      </c>
      <c r="D357" s="6">
        <v>200</v>
      </c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25.5" customHeight="1" x14ac:dyDescent="0.35">
      <c r="A358" s="22"/>
      <c r="B358" s="6" t="s">
        <v>372</v>
      </c>
      <c r="C358" s="23" t="s">
        <v>1301</v>
      </c>
      <c r="D358" s="6" t="s">
        <v>1357</v>
      </c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25.5" customHeight="1" x14ac:dyDescent="0.35">
      <c r="A359" s="22"/>
      <c r="B359" s="6" t="s">
        <v>373</v>
      </c>
      <c r="C359" s="6" t="s">
        <v>1302</v>
      </c>
      <c r="D359" s="6" t="s">
        <v>1357</v>
      </c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25.5" customHeight="1" x14ac:dyDescent="0.35">
      <c r="A360" s="22"/>
      <c r="B360" s="6" t="s">
        <v>374</v>
      </c>
      <c r="C360" s="6" t="s">
        <v>1303</v>
      </c>
      <c r="D360" s="6" t="s">
        <v>1357</v>
      </c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25.5" customHeight="1" x14ac:dyDescent="0.35">
      <c r="A361" s="22"/>
      <c r="B361" s="6" t="s">
        <v>375</v>
      </c>
      <c r="C361" s="6" t="s">
        <v>1304</v>
      </c>
      <c r="D361" s="6" t="s">
        <v>1357</v>
      </c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25.5" customHeight="1" x14ac:dyDescent="0.35">
      <c r="A362" s="22"/>
      <c r="B362" s="6" t="s">
        <v>376</v>
      </c>
      <c r="C362" s="6" t="s">
        <v>1305</v>
      </c>
      <c r="D362" s="6" t="s">
        <v>1357</v>
      </c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25.5" hidden="1" customHeight="1" x14ac:dyDescent="0.35">
      <c r="A363" s="22"/>
      <c r="B363" s="6" t="s">
        <v>377</v>
      </c>
      <c r="C363" s="6" t="s">
        <v>1306</v>
      </c>
      <c r="D363" s="6">
        <v>200</v>
      </c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25.5" hidden="1" customHeight="1" x14ac:dyDescent="0.35">
      <c r="A364" s="22"/>
      <c r="B364" s="6" t="s">
        <v>378</v>
      </c>
      <c r="C364" s="6" t="s">
        <v>1241</v>
      </c>
      <c r="D364" s="6">
        <v>200</v>
      </c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25.5" customHeight="1" x14ac:dyDescent="0.35">
      <c r="A365" s="22"/>
      <c r="B365" s="6" t="s">
        <v>379</v>
      </c>
      <c r="C365" s="23" t="s">
        <v>1307</v>
      </c>
      <c r="D365" s="6" t="s">
        <v>1357</v>
      </c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25.5" customHeight="1" x14ac:dyDescent="0.35">
      <c r="A366" s="22"/>
      <c r="B366" s="6" t="s">
        <v>380</v>
      </c>
      <c r="C366" s="6" t="s">
        <v>1308</v>
      </c>
      <c r="D366" s="6" t="s">
        <v>1357</v>
      </c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25.5" customHeight="1" x14ac:dyDescent="0.35">
      <c r="A367" s="22"/>
      <c r="B367" s="6" t="s">
        <v>381</v>
      </c>
      <c r="C367" s="6" t="s">
        <v>1309</v>
      </c>
      <c r="D367" s="6" t="s">
        <v>1357</v>
      </c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25.5" customHeight="1" x14ac:dyDescent="0.35">
      <c r="A368" s="22"/>
      <c r="B368" s="6" t="s">
        <v>382</v>
      </c>
      <c r="C368" s="6" t="s">
        <v>1310</v>
      </c>
      <c r="D368" s="6" t="s">
        <v>1357</v>
      </c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25.5" hidden="1" customHeight="1" x14ac:dyDescent="0.35">
      <c r="A369" s="22"/>
      <c r="B369" s="6" t="s">
        <v>383</v>
      </c>
      <c r="C369" s="6" t="s">
        <v>1096</v>
      </c>
      <c r="D369" s="6">
        <v>200</v>
      </c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25.5" customHeight="1" x14ac:dyDescent="0.35">
      <c r="A370" s="22"/>
      <c r="B370" s="6" t="s">
        <v>384</v>
      </c>
      <c r="C370" s="6" t="s">
        <v>1086</v>
      </c>
      <c r="D370" s="6">
        <v>404</v>
      </c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25.5" customHeight="1" x14ac:dyDescent="0.35">
      <c r="A371" s="22"/>
      <c r="B371" s="6" t="s">
        <v>385</v>
      </c>
      <c r="C371" s="6" t="s">
        <v>1086</v>
      </c>
      <c r="D371" s="6">
        <v>404</v>
      </c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25.5" hidden="1" customHeight="1" x14ac:dyDescent="0.35">
      <c r="A372" s="22"/>
      <c r="B372" s="6" t="s">
        <v>386</v>
      </c>
      <c r="C372" s="6" t="s">
        <v>1311</v>
      </c>
      <c r="D372" s="6">
        <v>200</v>
      </c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25.5" customHeight="1" x14ac:dyDescent="0.35">
      <c r="A373" s="22"/>
      <c r="B373" s="6" t="s">
        <v>387</v>
      </c>
      <c r="C373" s="6" t="s">
        <v>1312</v>
      </c>
      <c r="D373" s="6" t="s">
        <v>1357</v>
      </c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25.5" customHeight="1" x14ac:dyDescent="0.35">
      <c r="A374" s="22"/>
      <c r="B374" s="6" t="s">
        <v>388</v>
      </c>
      <c r="C374" s="6" t="s">
        <v>1313</v>
      </c>
      <c r="D374" s="6" t="s">
        <v>1357</v>
      </c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25.5" customHeight="1" x14ac:dyDescent="0.35">
      <c r="A375" s="22"/>
      <c r="B375" s="6" t="s">
        <v>389</v>
      </c>
      <c r="C375" s="6" t="s">
        <v>1237</v>
      </c>
      <c r="D375" s="6" t="s">
        <v>1358</v>
      </c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25.5" hidden="1" customHeight="1" x14ac:dyDescent="0.35">
      <c r="A376" s="22"/>
      <c r="B376" s="6" t="s">
        <v>390</v>
      </c>
      <c r="C376" s="6" t="s">
        <v>1314</v>
      </c>
      <c r="D376" s="6">
        <v>200</v>
      </c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25.5" hidden="1" customHeight="1" x14ac:dyDescent="0.35">
      <c r="A377" s="22"/>
      <c r="B377" s="6" t="s">
        <v>391</v>
      </c>
      <c r="C377" s="6" t="s">
        <v>1315</v>
      </c>
      <c r="D377" s="6">
        <v>200</v>
      </c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25.5" customHeight="1" x14ac:dyDescent="0.35">
      <c r="A378" s="22"/>
      <c r="B378" s="6" t="s">
        <v>392</v>
      </c>
      <c r="C378" s="6" t="s">
        <v>1316</v>
      </c>
      <c r="D378" s="6" t="s">
        <v>1357</v>
      </c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25.5" customHeight="1" x14ac:dyDescent="0.35">
      <c r="A379" s="22"/>
      <c r="B379" s="6" t="s">
        <v>393</v>
      </c>
      <c r="C379" s="6" t="s">
        <v>1317</v>
      </c>
      <c r="D379" s="6" t="s">
        <v>1357</v>
      </c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25.5" customHeight="1" x14ac:dyDescent="0.35">
      <c r="A380" s="22"/>
      <c r="B380" s="6" t="s">
        <v>394</v>
      </c>
      <c r="C380" s="6" t="s">
        <v>1318</v>
      </c>
      <c r="D380" s="6" t="s">
        <v>1357</v>
      </c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25.5" customHeight="1" x14ac:dyDescent="0.35">
      <c r="A381" s="22"/>
      <c r="B381" s="6" t="s">
        <v>395</v>
      </c>
      <c r="C381" s="6" t="s">
        <v>1319</v>
      </c>
      <c r="D381" s="6" t="s">
        <v>1357</v>
      </c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25.5" customHeight="1" x14ac:dyDescent="0.35">
      <c r="A382" s="22"/>
      <c r="B382" s="6" t="s">
        <v>396</v>
      </c>
      <c r="C382" s="6" t="s">
        <v>1320</v>
      </c>
      <c r="D382" s="6" t="s">
        <v>1357</v>
      </c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25.5" customHeight="1" x14ac:dyDescent="0.35">
      <c r="A383" s="22"/>
      <c r="B383" s="6" t="s">
        <v>397</v>
      </c>
      <c r="C383" s="6" t="s">
        <v>1321</v>
      </c>
      <c r="D383" s="6" t="s">
        <v>1357</v>
      </c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25.5" customHeight="1" x14ac:dyDescent="0.35">
      <c r="A384" s="22"/>
      <c r="B384" s="6" t="s">
        <v>398</v>
      </c>
      <c r="C384" s="6" t="s">
        <v>1322</v>
      </c>
      <c r="D384" s="6" t="s">
        <v>1357</v>
      </c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25.5" customHeight="1" x14ac:dyDescent="0.35">
      <c r="A385" s="22"/>
      <c r="B385" s="6" t="s">
        <v>399</v>
      </c>
      <c r="C385" s="6" t="s">
        <v>1323</v>
      </c>
      <c r="D385" s="6" t="s">
        <v>1358</v>
      </c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25.5" customHeight="1" x14ac:dyDescent="0.35">
      <c r="A386" s="22"/>
      <c r="B386" s="6" t="s">
        <v>400</v>
      </c>
      <c r="C386" s="6" t="s">
        <v>1324</v>
      </c>
      <c r="D386" s="6" t="s">
        <v>1357</v>
      </c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25.5" customHeight="1" x14ac:dyDescent="0.35">
      <c r="A387" s="22"/>
      <c r="B387" s="6" t="s">
        <v>401</v>
      </c>
      <c r="C387" s="6" t="s">
        <v>1325</v>
      </c>
      <c r="D387" s="6" t="s">
        <v>1357</v>
      </c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25.5" customHeight="1" x14ac:dyDescent="0.35">
      <c r="A388" s="22"/>
      <c r="B388" s="6" t="s">
        <v>402</v>
      </c>
      <c r="C388" s="6" t="s">
        <v>1326</v>
      </c>
      <c r="D388" s="6" t="s">
        <v>1357</v>
      </c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25.5" customHeight="1" x14ac:dyDescent="0.35">
      <c r="A389" s="22"/>
      <c r="B389" s="6" t="s">
        <v>403</v>
      </c>
      <c r="C389" s="6" t="s">
        <v>1086</v>
      </c>
      <c r="D389" s="6" t="s">
        <v>1357</v>
      </c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25.5" hidden="1" customHeight="1" x14ac:dyDescent="0.35">
      <c r="A390" s="22"/>
      <c r="B390" s="6" t="s">
        <v>404</v>
      </c>
      <c r="C390" s="23" t="s">
        <v>1327</v>
      </c>
      <c r="D390" s="6">
        <v>200</v>
      </c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25.5" customHeight="1" x14ac:dyDescent="0.35">
      <c r="A391" s="22"/>
      <c r="B391" s="6" t="s">
        <v>405</v>
      </c>
      <c r="C391" s="6" t="s">
        <v>1328</v>
      </c>
      <c r="D391" s="6" t="s">
        <v>1357</v>
      </c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25.5" customHeight="1" x14ac:dyDescent="0.35">
      <c r="A392" s="22"/>
      <c r="B392" s="6" t="s">
        <v>406</v>
      </c>
      <c r="C392" s="6" t="s">
        <v>1329</v>
      </c>
      <c r="D392" s="6" t="s">
        <v>1357</v>
      </c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25.5" hidden="1" customHeight="1" x14ac:dyDescent="0.35">
      <c r="A393" s="22"/>
      <c r="B393" s="6" t="s">
        <v>407</v>
      </c>
      <c r="C393" s="6" t="s">
        <v>1330</v>
      </c>
      <c r="D393" s="6">
        <v>200</v>
      </c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25.5" customHeight="1" x14ac:dyDescent="0.35">
      <c r="A394" s="22"/>
      <c r="B394" s="6" t="s">
        <v>408</v>
      </c>
      <c r="C394" s="6" t="s">
        <v>1331</v>
      </c>
      <c r="D394" s="6" t="s">
        <v>1357</v>
      </c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25.5" customHeight="1" x14ac:dyDescent="0.35">
      <c r="A395" s="22"/>
      <c r="B395" s="6" t="s">
        <v>409</v>
      </c>
      <c r="C395" s="6" t="s">
        <v>1332</v>
      </c>
      <c r="D395" s="6" t="s">
        <v>1357</v>
      </c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25.5" customHeight="1" x14ac:dyDescent="0.35">
      <c r="A396" s="22"/>
      <c r="B396" s="6" t="s">
        <v>410</v>
      </c>
      <c r="C396" s="6" t="s">
        <v>1333</v>
      </c>
      <c r="D396" s="6" t="s">
        <v>1357</v>
      </c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25.5" customHeight="1" x14ac:dyDescent="0.35">
      <c r="A397" s="22"/>
      <c r="B397" s="6" t="s">
        <v>411</v>
      </c>
      <c r="C397" s="23" t="s">
        <v>1334</v>
      </c>
      <c r="D397" s="6" t="s">
        <v>1357</v>
      </c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25.5" hidden="1" customHeight="1" x14ac:dyDescent="0.35">
      <c r="A398" s="22"/>
      <c r="B398" s="6" t="s">
        <v>412</v>
      </c>
      <c r="C398" s="6" t="s">
        <v>1335</v>
      </c>
      <c r="D398" s="6">
        <v>200</v>
      </c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25.5" customHeight="1" x14ac:dyDescent="0.35">
      <c r="A399" s="22"/>
      <c r="B399" s="6" t="s">
        <v>413</v>
      </c>
      <c r="C399" s="6" t="s">
        <v>1336</v>
      </c>
      <c r="D399" s="6" t="s">
        <v>1357</v>
      </c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25.5" customHeight="1" x14ac:dyDescent="0.35">
      <c r="A400" s="22"/>
      <c r="B400" s="6" t="s">
        <v>414</v>
      </c>
      <c r="C400" s="6" t="s">
        <v>1141</v>
      </c>
      <c r="D400" s="6" t="s">
        <v>1357</v>
      </c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25.5" customHeight="1" x14ac:dyDescent="0.35">
      <c r="A401" s="22"/>
      <c r="B401" s="6" t="s">
        <v>415</v>
      </c>
      <c r="C401" s="6" t="s">
        <v>1337</v>
      </c>
      <c r="D401" s="6" t="s">
        <v>1357</v>
      </c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25.5" customHeight="1" x14ac:dyDescent="0.35">
      <c r="A402" s="22"/>
      <c r="B402" s="6" t="s">
        <v>416</v>
      </c>
      <c r="C402" s="6" t="s">
        <v>1338</v>
      </c>
      <c r="D402" s="6" t="s">
        <v>1357</v>
      </c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25.5" hidden="1" customHeight="1" x14ac:dyDescent="0.35">
      <c r="A403" s="22"/>
      <c r="B403" s="6" t="s">
        <v>417</v>
      </c>
      <c r="C403" s="6" t="s">
        <v>1339</v>
      </c>
      <c r="D403" s="6">
        <v>200</v>
      </c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25.5" customHeight="1" x14ac:dyDescent="0.35">
      <c r="A404" s="22"/>
      <c r="B404" s="6" t="s">
        <v>418</v>
      </c>
      <c r="C404" s="6" t="s">
        <v>1340</v>
      </c>
      <c r="D404" s="6" t="s">
        <v>1357</v>
      </c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25.5" customHeight="1" x14ac:dyDescent="0.35">
      <c r="A405" s="22"/>
      <c r="B405" s="6" t="s">
        <v>419</v>
      </c>
      <c r="C405" s="23" t="s">
        <v>1341</v>
      </c>
      <c r="D405" s="6" t="s">
        <v>1358</v>
      </c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25.5" customHeight="1" x14ac:dyDescent="0.35">
      <c r="A406" s="22"/>
      <c r="B406" s="6" t="s">
        <v>420</v>
      </c>
      <c r="C406" s="6" t="s">
        <v>1086</v>
      </c>
      <c r="D406" s="6" t="s">
        <v>1357</v>
      </c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25.5" customHeight="1" x14ac:dyDescent="0.35">
      <c r="A407" s="22"/>
      <c r="B407" s="6" t="s">
        <v>421</v>
      </c>
      <c r="C407" s="6" t="s">
        <v>1086</v>
      </c>
      <c r="D407" s="6" t="s">
        <v>1357</v>
      </c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25.5" customHeight="1" x14ac:dyDescent="0.35">
      <c r="A408" s="22"/>
      <c r="B408" s="6" t="s">
        <v>422</v>
      </c>
      <c r="C408" s="6" t="s">
        <v>1342</v>
      </c>
      <c r="D408" s="6" t="s">
        <v>1357</v>
      </c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25.5" customHeight="1" x14ac:dyDescent="0.35">
      <c r="A409" s="22"/>
      <c r="B409" s="6" t="s">
        <v>423</v>
      </c>
      <c r="C409" s="6" t="s">
        <v>1343</v>
      </c>
      <c r="D409" s="6" t="s">
        <v>1357</v>
      </c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25.5" hidden="1" customHeight="1" x14ac:dyDescent="0.35">
      <c r="A410" s="22"/>
      <c r="B410" s="6" t="s">
        <v>424</v>
      </c>
      <c r="C410" s="6" t="s">
        <v>1344</v>
      </c>
      <c r="D410" s="6">
        <v>200</v>
      </c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25.5" customHeight="1" x14ac:dyDescent="0.35">
      <c r="A411" s="22"/>
      <c r="B411" s="6" t="s">
        <v>425</v>
      </c>
      <c r="C411" s="6" t="s">
        <v>1045</v>
      </c>
      <c r="D411" s="6">
        <v>404</v>
      </c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25.5" customHeight="1" x14ac:dyDescent="0.35">
      <c r="A412" s="22"/>
      <c r="B412" s="6" t="s">
        <v>426</v>
      </c>
      <c r="C412" s="6" t="s">
        <v>1345</v>
      </c>
      <c r="D412" s="6">
        <v>404</v>
      </c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25.5" customHeight="1" x14ac:dyDescent="0.35">
      <c r="A413" s="22"/>
      <c r="B413" s="6" t="s">
        <v>427</v>
      </c>
      <c r="C413" s="6" t="s">
        <v>1346</v>
      </c>
      <c r="D413" s="6" t="s">
        <v>1357</v>
      </c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25.5" customHeight="1" x14ac:dyDescent="0.35">
      <c r="A414" s="22"/>
      <c r="B414" s="6" t="s">
        <v>428</v>
      </c>
      <c r="C414" s="6" t="s">
        <v>1347</v>
      </c>
      <c r="D414" s="6" t="s">
        <v>1357</v>
      </c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25.5" customHeight="1" x14ac:dyDescent="0.35">
      <c r="A415" s="22"/>
      <c r="B415" s="6" t="s">
        <v>429</v>
      </c>
      <c r="C415" s="6" t="s">
        <v>1081</v>
      </c>
      <c r="D415" s="6" t="s">
        <v>1357</v>
      </c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25.5" customHeight="1" x14ac:dyDescent="0.35">
      <c r="A416" s="22"/>
      <c r="B416" s="6" t="s">
        <v>430</v>
      </c>
      <c r="C416" s="6" t="s">
        <v>1073</v>
      </c>
      <c r="D416" s="6" t="s">
        <v>1357</v>
      </c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25.5" customHeight="1" x14ac:dyDescent="0.35">
      <c r="A417" s="22"/>
      <c r="B417" s="6" t="s">
        <v>431</v>
      </c>
      <c r="C417" s="6" t="s">
        <v>1348</v>
      </c>
      <c r="D417" s="6" t="s">
        <v>1357</v>
      </c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25.5" hidden="1" customHeight="1" x14ac:dyDescent="0.35">
      <c r="A418" s="22"/>
      <c r="B418" s="6" t="s">
        <v>432</v>
      </c>
      <c r="C418" s="6" t="s">
        <v>1349</v>
      </c>
      <c r="D418" s="6">
        <v>200</v>
      </c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25.5" customHeight="1" x14ac:dyDescent="0.35">
      <c r="A419" s="22"/>
      <c r="B419" s="6" t="s">
        <v>433</v>
      </c>
      <c r="C419" s="6" t="s">
        <v>1167</v>
      </c>
      <c r="D419" s="6" t="s">
        <v>1357</v>
      </c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25.5" customHeight="1" x14ac:dyDescent="0.35">
      <c r="A420" s="22"/>
      <c r="B420" s="6" t="s">
        <v>434</v>
      </c>
      <c r="C420" s="6" t="s">
        <v>1350</v>
      </c>
      <c r="D420" s="6" t="s">
        <v>1357</v>
      </c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25.5" customHeight="1" x14ac:dyDescent="0.35">
      <c r="A421" s="22"/>
      <c r="B421" s="6" t="s">
        <v>435</v>
      </c>
      <c r="C421" s="6" t="s">
        <v>1351</v>
      </c>
      <c r="D421" s="6" t="s">
        <v>1357</v>
      </c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25.5" customHeight="1" x14ac:dyDescent="0.35">
      <c r="A422" s="22"/>
      <c r="B422" s="6" t="s">
        <v>436</v>
      </c>
      <c r="C422" s="6" t="s">
        <v>1058</v>
      </c>
      <c r="D422" s="6" t="s">
        <v>1357</v>
      </c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25.5" hidden="1" customHeight="1" x14ac:dyDescent="0.35">
      <c r="A423" s="22"/>
      <c r="B423" s="6" t="s">
        <v>437</v>
      </c>
      <c r="C423" s="6" t="s">
        <v>1058</v>
      </c>
      <c r="D423" s="6">
        <v>200</v>
      </c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25.5" customHeight="1" x14ac:dyDescent="0.35">
      <c r="A424" s="22"/>
      <c r="B424" s="6" t="s">
        <v>438</v>
      </c>
      <c r="C424" s="6" t="s">
        <v>1086</v>
      </c>
      <c r="D424" s="6" t="s">
        <v>1357</v>
      </c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25.5" customHeight="1" x14ac:dyDescent="0.35">
      <c r="A425" s="22"/>
      <c r="B425" s="6" t="s">
        <v>439</v>
      </c>
      <c r="C425" s="6" t="s">
        <v>11</v>
      </c>
      <c r="D425" s="6" t="s">
        <v>1357</v>
      </c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25.5" customHeight="1" x14ac:dyDescent="0.35">
      <c r="A426" s="22"/>
      <c r="B426" s="6" t="s">
        <v>440</v>
      </c>
      <c r="C426" s="6" t="s">
        <v>1352</v>
      </c>
      <c r="D426" s="6" t="s">
        <v>1358</v>
      </c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25.5" customHeight="1" x14ac:dyDescent="0.35">
      <c r="A427" s="22"/>
      <c r="B427" s="6" t="s">
        <v>441</v>
      </c>
      <c r="C427" s="6" t="s">
        <v>1045</v>
      </c>
      <c r="D427" s="6" t="s">
        <v>1357</v>
      </c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25.5" customHeight="1" x14ac:dyDescent="0.35">
      <c r="A428" s="22"/>
      <c r="B428" s="6" t="s">
        <v>442</v>
      </c>
      <c r="C428" s="6" t="s">
        <v>1045</v>
      </c>
      <c r="D428" s="6">
        <v>404</v>
      </c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25.5" customHeight="1" x14ac:dyDescent="0.35">
      <c r="A429" s="22"/>
      <c r="B429" s="6" t="s">
        <v>443</v>
      </c>
      <c r="C429" s="6" t="s">
        <v>11</v>
      </c>
      <c r="D429" s="6" t="s">
        <v>1357</v>
      </c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25.5" hidden="1" customHeight="1" x14ac:dyDescent="0.35">
      <c r="A430" s="22"/>
      <c r="B430" s="6" t="s">
        <v>444</v>
      </c>
      <c r="C430" s="6" t="s">
        <v>444</v>
      </c>
      <c r="D430" s="6">
        <v>200</v>
      </c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25.5" customHeight="1" x14ac:dyDescent="0.35">
      <c r="A431" s="22"/>
      <c r="B431" s="6" t="s">
        <v>445</v>
      </c>
      <c r="C431" s="6" t="s">
        <v>1079</v>
      </c>
      <c r="D431" s="6" t="s">
        <v>1357</v>
      </c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25.5" customHeight="1" x14ac:dyDescent="0.35">
      <c r="A432" s="22"/>
      <c r="B432" s="6" t="s">
        <v>446</v>
      </c>
      <c r="C432" s="6" t="s">
        <v>1079</v>
      </c>
      <c r="D432" s="6" t="s">
        <v>1357</v>
      </c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25.5" customHeight="1" x14ac:dyDescent="0.35">
      <c r="A433" s="22"/>
      <c r="B433" s="6" t="s">
        <v>447</v>
      </c>
      <c r="C433" s="6" t="s">
        <v>1079</v>
      </c>
      <c r="D433" s="6" t="s">
        <v>1357</v>
      </c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25.5" hidden="1" customHeight="1" x14ac:dyDescent="0.35">
      <c r="A434" s="22"/>
      <c r="B434" s="6" t="s">
        <v>448</v>
      </c>
      <c r="C434" s="6" t="s">
        <v>1079</v>
      </c>
      <c r="D434" s="6">
        <v>200</v>
      </c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25.5" customHeight="1" x14ac:dyDescent="0.35">
      <c r="A435" s="22"/>
      <c r="B435" s="6" t="s">
        <v>449</v>
      </c>
      <c r="C435" s="6" t="s">
        <v>1079</v>
      </c>
      <c r="D435" s="6" t="s">
        <v>1357</v>
      </c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25.5" customHeight="1" x14ac:dyDescent="0.35">
      <c r="A436" s="22"/>
      <c r="B436" s="6" t="s">
        <v>450</v>
      </c>
      <c r="C436" s="6" t="s">
        <v>1079</v>
      </c>
      <c r="D436" s="6" t="s">
        <v>1357</v>
      </c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25.5" customHeight="1" x14ac:dyDescent="0.35">
      <c r="A437" s="22"/>
      <c r="B437" s="6" t="s">
        <v>451</v>
      </c>
      <c r="C437" s="6" t="s">
        <v>1079</v>
      </c>
      <c r="D437" s="6" t="s">
        <v>1357</v>
      </c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25.5" hidden="1" customHeight="1" x14ac:dyDescent="0.35">
      <c r="A438" s="22"/>
      <c r="B438" s="6" t="s">
        <v>452</v>
      </c>
      <c r="C438" s="6" t="s">
        <v>1079</v>
      </c>
      <c r="D438" s="6">
        <v>200</v>
      </c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25.5" customHeight="1" x14ac:dyDescent="0.35">
      <c r="A439" s="22"/>
      <c r="B439" s="6" t="s">
        <v>453</v>
      </c>
      <c r="C439" s="6" t="s">
        <v>1074</v>
      </c>
      <c r="D439" s="6" t="s">
        <v>1357</v>
      </c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25.5" hidden="1" customHeight="1" x14ac:dyDescent="0.35">
      <c r="A440" s="22"/>
      <c r="B440" s="6" t="s">
        <v>457</v>
      </c>
      <c r="C440" s="6" t="s">
        <v>1353</v>
      </c>
      <c r="D440" s="6">
        <v>200</v>
      </c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25.5" customHeight="1" x14ac:dyDescent="0.35">
      <c r="A441" s="22"/>
      <c r="B441" s="6" t="s">
        <v>458</v>
      </c>
      <c r="C441" s="6" t="s">
        <v>11</v>
      </c>
      <c r="D441" s="6" t="s">
        <v>1357</v>
      </c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25.5" customHeight="1" x14ac:dyDescent="0.35">
      <c r="A442" s="22"/>
      <c r="B442" s="6" t="s">
        <v>459</v>
      </c>
      <c r="C442" s="6" t="s">
        <v>11</v>
      </c>
      <c r="D442" s="6" t="s">
        <v>1357</v>
      </c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25.5" customHeight="1" x14ac:dyDescent="0.35">
      <c r="A443" s="22"/>
      <c r="B443" s="6" t="s">
        <v>460</v>
      </c>
      <c r="C443" s="6" t="s">
        <v>1354</v>
      </c>
      <c r="D443" s="6" t="s">
        <v>1357</v>
      </c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25.5" customHeight="1" x14ac:dyDescent="0.35">
      <c r="A444" s="22"/>
      <c r="B444" s="6" t="s">
        <v>461</v>
      </c>
      <c r="C444" s="6" t="s">
        <v>1355</v>
      </c>
      <c r="D444" s="6" t="s">
        <v>1357</v>
      </c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25.5" customHeight="1" x14ac:dyDescent="0.35">
      <c r="A445" s="22"/>
      <c r="B445" s="6" t="s">
        <v>462</v>
      </c>
      <c r="C445" s="6" t="s">
        <v>1356</v>
      </c>
      <c r="D445" s="6" t="s">
        <v>1358</v>
      </c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25.5" customHeight="1" x14ac:dyDescent="0.35">
      <c r="A446" s="22"/>
      <c r="B446" s="6" t="s">
        <v>463</v>
      </c>
      <c r="C446" s="6" t="s">
        <v>11</v>
      </c>
      <c r="D446" s="6" t="s">
        <v>1357</v>
      </c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25.5" hidden="1" customHeight="1" x14ac:dyDescent="0.35">
      <c r="A447" s="22"/>
      <c r="B447" s="6" t="s">
        <v>464</v>
      </c>
      <c r="C447" s="6" t="s">
        <v>11</v>
      </c>
      <c r="D447" s="6">
        <v>200</v>
      </c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25.5" customHeight="1" x14ac:dyDescent="0.35">
      <c r="A448" s="22"/>
      <c r="B448" s="6" t="s">
        <v>465</v>
      </c>
      <c r="C448" s="6" t="s">
        <v>11</v>
      </c>
      <c r="D448" s="6" t="s">
        <v>1357</v>
      </c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25.5" hidden="1" customHeight="1" x14ac:dyDescent="0.35">
      <c r="A449" s="22"/>
      <c r="B449" s="6" t="s">
        <v>466</v>
      </c>
      <c r="C449" s="6" t="s">
        <v>1047</v>
      </c>
      <c r="D449" s="6">
        <v>200</v>
      </c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25.5" customHeight="1" x14ac:dyDescent="0.35">
      <c r="A450" s="22"/>
      <c r="B450" s="6" t="s">
        <v>467</v>
      </c>
      <c r="C450" s="6" t="s">
        <v>1047</v>
      </c>
      <c r="D450" s="6" t="s">
        <v>1358</v>
      </c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25.5" customHeight="1" x14ac:dyDescent="0.35">
      <c r="A451" s="22"/>
      <c r="B451" s="6" t="s">
        <v>468</v>
      </c>
      <c r="C451" s="6" t="s">
        <v>1047</v>
      </c>
      <c r="D451" s="6" t="s">
        <v>1357</v>
      </c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25.5" customHeight="1" x14ac:dyDescent="0.35">
      <c r="A452" s="22"/>
      <c r="B452" s="6" t="s">
        <v>469</v>
      </c>
      <c r="C452" s="6" t="s">
        <v>1047</v>
      </c>
      <c r="D452" s="6" t="s">
        <v>1357</v>
      </c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25.5" customHeight="1" x14ac:dyDescent="0.35">
      <c r="A453" s="22"/>
      <c r="B453" s="6" t="s">
        <v>470</v>
      </c>
      <c r="C453" s="6" t="s">
        <v>1047</v>
      </c>
      <c r="D453" s="6" t="s">
        <v>1357</v>
      </c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25.5" customHeight="1" x14ac:dyDescent="0.35">
      <c r="A454" s="22"/>
      <c r="B454" s="6" t="s">
        <v>471</v>
      </c>
      <c r="C454" s="6" t="s">
        <v>1047</v>
      </c>
      <c r="D454" s="6" t="s">
        <v>1357</v>
      </c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25.5" customHeight="1" x14ac:dyDescent="0.35">
      <c r="A455" s="22"/>
      <c r="B455" s="6" t="s">
        <v>472</v>
      </c>
      <c r="C455" s="6" t="s">
        <v>1047</v>
      </c>
      <c r="D455" s="6" t="s">
        <v>1357</v>
      </c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25.5" customHeight="1" x14ac:dyDescent="0.35">
      <c r="A456" s="22"/>
      <c r="B456" s="6" t="s">
        <v>473</v>
      </c>
      <c r="C456" s="6" t="s">
        <v>1047</v>
      </c>
      <c r="D456" s="6" t="s">
        <v>1357</v>
      </c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25.5" customHeight="1" x14ac:dyDescent="0.35">
      <c r="A457" s="22"/>
      <c r="B457" s="6" t="s">
        <v>474</v>
      </c>
      <c r="C457" s="6" t="s">
        <v>1047</v>
      </c>
      <c r="D457" s="6" t="s">
        <v>1357</v>
      </c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25.5" customHeight="1" x14ac:dyDescent="0.35">
      <c r="A458" s="22"/>
      <c r="B458" s="6" t="s">
        <v>475</v>
      </c>
      <c r="C458" s="6" t="s">
        <v>1047</v>
      </c>
      <c r="D458" s="6" t="s">
        <v>1357</v>
      </c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25.5" customHeight="1" x14ac:dyDescent="0.35">
      <c r="A459" s="22"/>
      <c r="B459" s="6" t="s">
        <v>476</v>
      </c>
      <c r="C459" s="6" t="s">
        <v>1047</v>
      </c>
      <c r="D459" s="6" t="s">
        <v>1357</v>
      </c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25.5" customHeight="1" x14ac:dyDescent="0.35">
      <c r="A460" s="22"/>
      <c r="B460" s="6" t="s">
        <v>477</v>
      </c>
      <c r="C460" s="6" t="s">
        <v>1047</v>
      </c>
      <c r="D460" s="6" t="s">
        <v>1357</v>
      </c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25.5" customHeight="1" x14ac:dyDescent="0.35">
      <c r="A461" s="22"/>
      <c r="B461" s="6" t="s">
        <v>478</v>
      </c>
      <c r="C461" s="6" t="s">
        <v>1047</v>
      </c>
      <c r="D461" s="6" t="s">
        <v>1357</v>
      </c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25.5" customHeight="1" x14ac:dyDescent="0.35">
      <c r="A462" s="22"/>
      <c r="B462" s="6" t="s">
        <v>479</v>
      </c>
      <c r="C462" s="6" t="s">
        <v>1047</v>
      </c>
      <c r="D462" s="6" t="s">
        <v>1357</v>
      </c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25.5" customHeight="1" x14ac:dyDescent="0.35">
      <c r="A463" s="22"/>
      <c r="B463" s="6" t="s">
        <v>480</v>
      </c>
      <c r="C463" s="6" t="s">
        <v>1047</v>
      </c>
      <c r="D463" s="6" t="s">
        <v>1357</v>
      </c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25.5" hidden="1" customHeight="1" x14ac:dyDescent="0.35">
      <c r="A464" s="22"/>
      <c r="B464" s="6" t="s">
        <v>481</v>
      </c>
      <c r="C464" s="6" t="s">
        <v>1047</v>
      </c>
      <c r="D464" s="6">
        <v>200</v>
      </c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25.5" customHeight="1" x14ac:dyDescent="0.35">
      <c r="A465" s="22"/>
      <c r="B465" s="6" t="s">
        <v>482</v>
      </c>
      <c r="C465" s="6" t="s">
        <v>1047</v>
      </c>
      <c r="D465" s="6" t="s">
        <v>1358</v>
      </c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25.5" customHeight="1" x14ac:dyDescent="0.35">
      <c r="A466" s="22"/>
      <c r="B466" s="6" t="s">
        <v>483</v>
      </c>
      <c r="C466" s="6" t="s">
        <v>1047</v>
      </c>
      <c r="D466" s="6" t="s">
        <v>1357</v>
      </c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25.5" customHeight="1" x14ac:dyDescent="0.35">
      <c r="A467" s="22"/>
      <c r="B467" s="6" t="s">
        <v>484</v>
      </c>
      <c r="C467" s="6" t="s">
        <v>1047</v>
      </c>
      <c r="D467" s="6" t="s">
        <v>1357</v>
      </c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25.5" customHeight="1" x14ac:dyDescent="0.35">
      <c r="A468" s="22"/>
      <c r="B468" s="6" t="s">
        <v>485</v>
      </c>
      <c r="C468" s="6" t="s">
        <v>1047</v>
      </c>
      <c r="D468" s="6" t="s">
        <v>1357</v>
      </c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25.5" customHeight="1" x14ac:dyDescent="0.35">
      <c r="A469" s="22"/>
      <c r="B469" s="6" t="s">
        <v>486</v>
      </c>
      <c r="C469" s="6" t="s">
        <v>1047</v>
      </c>
      <c r="D469" s="6" t="s">
        <v>1357</v>
      </c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25.5" customHeight="1" x14ac:dyDescent="0.35">
      <c r="A470" s="22"/>
      <c r="B470" s="6" t="s">
        <v>487</v>
      </c>
      <c r="C470" s="6" t="s">
        <v>1047</v>
      </c>
      <c r="D470" s="6" t="s">
        <v>1357</v>
      </c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25.5" hidden="1" customHeight="1" x14ac:dyDescent="0.35">
      <c r="A471" s="22"/>
      <c r="B471" s="6" t="s">
        <v>488</v>
      </c>
      <c r="C471" s="6" t="s">
        <v>1047</v>
      </c>
      <c r="D471" s="6" t="s">
        <v>1359</v>
      </c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25.5" customHeight="1" x14ac:dyDescent="0.35">
      <c r="A472" s="22"/>
      <c r="B472" s="6" t="s">
        <v>489</v>
      </c>
      <c r="C472" s="6" t="s">
        <v>1047</v>
      </c>
      <c r="D472" s="6" t="s">
        <v>1357</v>
      </c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25.5" hidden="1" customHeight="1" x14ac:dyDescent="0.35">
      <c r="A473" s="22"/>
      <c r="B473" s="6" t="s">
        <v>490</v>
      </c>
      <c r="C473" s="6" t="s">
        <v>1047</v>
      </c>
      <c r="D473" s="6">
        <v>200</v>
      </c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25.5" customHeight="1" x14ac:dyDescent="0.35">
      <c r="A474" s="22"/>
      <c r="B474" s="6" t="s">
        <v>491</v>
      </c>
      <c r="C474" s="6" t="s">
        <v>1047</v>
      </c>
      <c r="D474" s="6" t="s">
        <v>1357</v>
      </c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25.5" customHeight="1" x14ac:dyDescent="0.35">
      <c r="A475" s="22"/>
      <c r="B475" s="6" t="s">
        <v>492</v>
      </c>
      <c r="C475" s="6" t="s">
        <v>1047</v>
      </c>
      <c r="D475" s="6" t="s">
        <v>1357</v>
      </c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25.5" customHeight="1" x14ac:dyDescent="0.35">
      <c r="A476" s="22"/>
      <c r="B476" s="6" t="s">
        <v>493</v>
      </c>
      <c r="C476" s="6" t="s">
        <v>1047</v>
      </c>
      <c r="D476" s="6" t="s">
        <v>1357</v>
      </c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25.5" hidden="1" customHeight="1" x14ac:dyDescent="0.35">
      <c r="A477" s="22"/>
      <c r="B477" s="6" t="s">
        <v>494</v>
      </c>
      <c r="C477" s="6" t="s">
        <v>1047</v>
      </c>
      <c r="D477" s="6">
        <v>200</v>
      </c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25.5" customHeight="1" x14ac:dyDescent="0.35">
      <c r="A478" s="22"/>
      <c r="B478" s="6" t="s">
        <v>495</v>
      </c>
      <c r="C478" s="6" t="s">
        <v>1047</v>
      </c>
      <c r="D478" s="6" t="s">
        <v>1357</v>
      </c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25.5" customHeight="1" x14ac:dyDescent="0.35">
      <c r="A479" s="22"/>
      <c r="B479" s="6" t="s">
        <v>496</v>
      </c>
      <c r="C479" s="6" t="s">
        <v>1047</v>
      </c>
      <c r="D479" s="6" t="s">
        <v>1357</v>
      </c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25.5" customHeight="1" x14ac:dyDescent="0.35">
      <c r="A480" s="22"/>
      <c r="B480" s="6" t="s">
        <v>497</v>
      </c>
      <c r="C480" s="6" t="s">
        <v>1047</v>
      </c>
      <c r="D480" s="6" t="s">
        <v>1357</v>
      </c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25.5" customHeight="1" x14ac:dyDescent="0.35">
      <c r="A481" s="22"/>
      <c r="B481" s="6" t="s">
        <v>498</v>
      </c>
      <c r="C481" s="6" t="s">
        <v>1047</v>
      </c>
      <c r="D481" s="6" t="s">
        <v>1357</v>
      </c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25.5" customHeight="1" x14ac:dyDescent="0.35">
      <c r="A482" s="22"/>
      <c r="B482" s="6" t="s">
        <v>499</v>
      </c>
      <c r="C482" s="6" t="s">
        <v>1047</v>
      </c>
      <c r="D482" s="6" t="s">
        <v>1357</v>
      </c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25.5" customHeight="1" x14ac:dyDescent="0.35">
      <c r="A483" s="22"/>
      <c r="B483" s="6" t="s">
        <v>500</v>
      </c>
      <c r="C483" s="6" t="s">
        <v>1047</v>
      </c>
      <c r="D483" s="6" t="s">
        <v>1358</v>
      </c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25.5" customHeight="1" x14ac:dyDescent="0.35">
      <c r="A484" s="22"/>
      <c r="B484" s="6" t="s">
        <v>501</v>
      </c>
      <c r="C484" s="6" t="s">
        <v>1047</v>
      </c>
      <c r="D484" s="6" t="s">
        <v>1357</v>
      </c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25.5" customHeight="1" x14ac:dyDescent="0.35">
      <c r="A485" s="22"/>
      <c r="B485" s="6" t="s">
        <v>502</v>
      </c>
      <c r="C485" s="6" t="s">
        <v>1047</v>
      </c>
      <c r="D485" s="6" t="s">
        <v>1357</v>
      </c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25.5" customHeight="1" x14ac:dyDescent="0.35">
      <c r="A486" s="22"/>
      <c r="B486" s="6" t="s">
        <v>503</v>
      </c>
      <c r="C486" s="6" t="s">
        <v>1047</v>
      </c>
      <c r="D486" s="6" t="s">
        <v>1357</v>
      </c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25.5" customHeight="1" x14ac:dyDescent="0.35">
      <c r="A487" s="22"/>
      <c r="B487" s="6" t="s">
        <v>504</v>
      </c>
      <c r="C487" s="6" t="s">
        <v>1047</v>
      </c>
      <c r="D487" s="6" t="s">
        <v>1357</v>
      </c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25.5" customHeight="1" x14ac:dyDescent="0.35">
      <c r="A488" s="22"/>
      <c r="B488" s="6" t="s">
        <v>505</v>
      </c>
      <c r="C488" s="6" t="s">
        <v>1047</v>
      </c>
      <c r="D488" s="6" t="s">
        <v>1357</v>
      </c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25.5" customHeight="1" x14ac:dyDescent="0.35">
      <c r="A489" s="22"/>
      <c r="B489" s="6" t="s">
        <v>506</v>
      </c>
      <c r="C489" s="6" t="s">
        <v>1047</v>
      </c>
      <c r="D489" s="6" t="s">
        <v>1357</v>
      </c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25.5" customHeight="1" x14ac:dyDescent="0.35">
      <c r="A490" s="22"/>
      <c r="B490" s="6" t="s">
        <v>507</v>
      </c>
      <c r="C490" s="6" t="s">
        <v>1047</v>
      </c>
      <c r="D490" s="6" t="s">
        <v>1357</v>
      </c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25.5" customHeight="1" x14ac:dyDescent="0.35">
      <c r="A491" s="22"/>
      <c r="B491" s="6" t="s">
        <v>508</v>
      </c>
      <c r="C491" s="6" t="s">
        <v>1047</v>
      </c>
      <c r="D491" s="6" t="s">
        <v>1357</v>
      </c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25.5" hidden="1" customHeight="1" x14ac:dyDescent="0.35">
      <c r="A492" s="22"/>
      <c r="B492" s="6" t="s">
        <v>509</v>
      </c>
      <c r="C492" s="6" t="s">
        <v>1047</v>
      </c>
      <c r="D492" s="6">
        <v>200</v>
      </c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25.5" customHeight="1" x14ac:dyDescent="0.35">
      <c r="A493" s="22"/>
      <c r="B493" s="6" t="s">
        <v>510</v>
      </c>
      <c r="C493" s="6" t="s">
        <v>1047</v>
      </c>
      <c r="D493" s="6" t="s">
        <v>1357</v>
      </c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25.5" customHeight="1" x14ac:dyDescent="0.35">
      <c r="A494" s="22"/>
      <c r="B494" s="6" t="s">
        <v>511</v>
      </c>
      <c r="C494" s="6" t="s">
        <v>1047</v>
      </c>
      <c r="D494" s="6" t="s">
        <v>1357</v>
      </c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25.5" customHeight="1" x14ac:dyDescent="0.35">
      <c r="A495" s="22"/>
      <c r="B495" s="6"/>
      <c r="C495" s="6"/>
      <c r="D495" s="6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25.5" customHeight="1" x14ac:dyDescent="0.35">
      <c r="A496" s="22"/>
      <c r="B496" s="6"/>
      <c r="C496" s="6"/>
      <c r="D496" s="6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25.5" customHeight="1" x14ac:dyDescent="0.35">
      <c r="A497" s="25"/>
      <c r="B497" s="6"/>
      <c r="C497" s="6"/>
      <c r="D497" s="6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25.5" customHeight="1" x14ac:dyDescent="0.35">
      <c r="A498" s="25"/>
      <c r="B498" s="6"/>
      <c r="C498" s="6"/>
      <c r="D498" s="6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25.5" customHeight="1" x14ac:dyDescent="0.35">
      <c r="A499" s="25"/>
      <c r="B499" s="6"/>
      <c r="C499" s="6"/>
      <c r="D499" s="6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25.5" customHeight="1" x14ac:dyDescent="0.35">
      <c r="A500" s="25"/>
      <c r="B500" s="6"/>
      <c r="C500" s="6"/>
      <c r="D500" s="6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25.5" customHeight="1" x14ac:dyDescent="0.35">
      <c r="A501" s="25"/>
      <c r="B501" s="6"/>
      <c r="C501" s="6"/>
      <c r="D501" s="6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25.5" customHeight="1" x14ac:dyDescent="0.35">
      <c r="A502" s="25"/>
      <c r="B502" s="6"/>
      <c r="C502" s="6"/>
      <c r="D502" s="6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25.5" customHeight="1" x14ac:dyDescent="0.35">
      <c r="A503" s="25"/>
      <c r="B503" s="6"/>
      <c r="C503" s="6"/>
      <c r="D503" s="6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25.5" customHeight="1" x14ac:dyDescent="0.35">
      <c r="A504" s="25"/>
      <c r="B504" s="6"/>
      <c r="C504" s="6"/>
      <c r="D504" s="6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25.5" customHeight="1" x14ac:dyDescent="0.35">
      <c r="A505" s="25"/>
      <c r="B505" s="6"/>
      <c r="C505" s="6"/>
      <c r="D505" s="6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25.5" customHeight="1" x14ac:dyDescent="0.35">
      <c r="A506" s="25"/>
      <c r="B506" s="6"/>
      <c r="C506" s="6"/>
      <c r="D506" s="6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25.5" customHeight="1" x14ac:dyDescent="0.35">
      <c r="A507" s="25"/>
      <c r="B507" s="6"/>
      <c r="C507" s="6"/>
      <c r="D507" s="6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25.5" customHeight="1" x14ac:dyDescent="0.35">
      <c r="A508" s="25"/>
      <c r="B508" s="6"/>
      <c r="C508" s="6"/>
      <c r="D508" s="6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25.5" customHeight="1" x14ac:dyDescent="0.35">
      <c r="A509" s="25"/>
      <c r="B509" s="6"/>
      <c r="C509" s="6"/>
      <c r="D509" s="6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25.5" customHeight="1" x14ac:dyDescent="0.35">
      <c r="A510" s="25"/>
      <c r="B510" s="6"/>
      <c r="C510" s="6"/>
      <c r="D510" s="6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25.5" customHeight="1" x14ac:dyDescent="0.35">
      <c r="A511" s="25"/>
      <c r="B511" s="6"/>
      <c r="C511" s="6"/>
      <c r="D511" s="6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25.5" customHeight="1" x14ac:dyDescent="0.35">
      <c r="A512" s="25"/>
      <c r="B512" s="6"/>
      <c r="C512" s="6"/>
      <c r="D512" s="6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25.5" customHeight="1" x14ac:dyDescent="0.35">
      <c r="A513" s="25"/>
      <c r="B513" s="6"/>
      <c r="C513" s="6"/>
      <c r="D513" s="6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25.5" customHeight="1" x14ac:dyDescent="0.35">
      <c r="A514" s="25"/>
      <c r="B514" s="6"/>
      <c r="C514" s="6"/>
      <c r="D514" s="6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25.5" customHeight="1" x14ac:dyDescent="0.35">
      <c r="A515" s="25"/>
      <c r="B515" s="6"/>
      <c r="C515" s="6"/>
      <c r="D515" s="6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25.5" customHeight="1" x14ac:dyDescent="0.35">
      <c r="A516" s="25"/>
      <c r="B516" s="6"/>
      <c r="C516" s="6"/>
      <c r="D516" s="6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25.5" customHeight="1" x14ac:dyDescent="0.35">
      <c r="A517" s="25"/>
      <c r="B517" s="6"/>
      <c r="C517" s="6"/>
      <c r="D517" s="6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25.5" customHeight="1" x14ac:dyDescent="0.35">
      <c r="A518" s="25"/>
      <c r="B518" s="6"/>
      <c r="C518" s="6"/>
      <c r="D518" s="6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25.5" customHeight="1" x14ac:dyDescent="0.35">
      <c r="A519" s="25"/>
      <c r="B519" s="6"/>
      <c r="C519" s="6"/>
      <c r="D519" s="6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25.5" customHeight="1" x14ac:dyDescent="0.35">
      <c r="A520" s="25"/>
      <c r="B520" s="6"/>
      <c r="C520" s="6"/>
      <c r="D520" s="6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25.5" customHeight="1" x14ac:dyDescent="0.35">
      <c r="A521" s="25"/>
      <c r="B521" s="6"/>
      <c r="C521" s="6"/>
      <c r="D521" s="6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25.5" customHeight="1" x14ac:dyDescent="0.35">
      <c r="A522" s="25"/>
      <c r="B522" s="6"/>
      <c r="C522" s="6"/>
      <c r="D522" s="6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25.5" customHeight="1" x14ac:dyDescent="0.35">
      <c r="A523" s="25"/>
      <c r="B523" s="6"/>
      <c r="C523" s="6"/>
      <c r="D523" s="6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25.5" customHeight="1" x14ac:dyDescent="0.35">
      <c r="A524" s="25"/>
      <c r="B524" s="6"/>
      <c r="C524" s="6"/>
      <c r="D524" s="6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25.5" customHeight="1" x14ac:dyDescent="0.35">
      <c r="A525" s="25"/>
      <c r="B525" s="6"/>
      <c r="C525" s="6"/>
      <c r="D525" s="6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25.5" customHeight="1" x14ac:dyDescent="0.35">
      <c r="A526" s="25"/>
      <c r="B526" s="6"/>
      <c r="C526" s="6"/>
      <c r="D526" s="6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25.5" customHeight="1" x14ac:dyDescent="0.35">
      <c r="A527" s="25"/>
      <c r="B527" s="6"/>
      <c r="C527" s="6"/>
      <c r="D527" s="6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25.5" customHeight="1" x14ac:dyDescent="0.35">
      <c r="A528" s="25"/>
      <c r="B528" s="6"/>
      <c r="C528" s="6"/>
      <c r="D528" s="6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25.5" customHeight="1" x14ac:dyDescent="0.35">
      <c r="A529" s="25"/>
      <c r="B529" s="6"/>
      <c r="C529" s="6"/>
      <c r="D529" s="6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25.5" customHeight="1" x14ac:dyDescent="0.35">
      <c r="A530" s="25"/>
      <c r="B530" s="6"/>
      <c r="C530" s="6"/>
      <c r="D530" s="6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25.5" customHeight="1" x14ac:dyDescent="0.35">
      <c r="A531" s="25"/>
      <c r="B531" s="6"/>
      <c r="C531" s="6"/>
      <c r="D531" s="6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25.5" customHeight="1" x14ac:dyDescent="0.35">
      <c r="A532" s="25"/>
      <c r="B532" s="6"/>
      <c r="C532" s="6"/>
      <c r="D532" s="6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25.5" customHeight="1" x14ac:dyDescent="0.35">
      <c r="A533" s="25"/>
      <c r="B533" s="6"/>
      <c r="C533" s="6"/>
      <c r="D533" s="6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25.5" customHeight="1" x14ac:dyDescent="0.35">
      <c r="A534" s="25"/>
      <c r="B534" s="6"/>
      <c r="C534" s="6"/>
      <c r="D534" s="6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25.5" customHeight="1" x14ac:dyDescent="0.35">
      <c r="A535" s="25"/>
      <c r="B535" s="6"/>
      <c r="C535" s="6"/>
      <c r="D535" s="6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25.5" customHeight="1" x14ac:dyDescent="0.35">
      <c r="A536" s="25"/>
      <c r="B536" s="6"/>
      <c r="C536" s="6"/>
      <c r="D536" s="6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25.5" customHeight="1" x14ac:dyDescent="0.35">
      <c r="A537" s="25"/>
      <c r="B537" s="6"/>
      <c r="C537" s="6"/>
      <c r="D537" s="6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25.5" customHeight="1" x14ac:dyDescent="0.35">
      <c r="A538" s="25"/>
      <c r="B538" s="6"/>
      <c r="C538" s="6"/>
      <c r="D538" s="6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25.5" customHeight="1" x14ac:dyDescent="0.35">
      <c r="A539" s="25"/>
      <c r="B539" s="6"/>
      <c r="C539" s="6"/>
      <c r="D539" s="6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25.5" customHeight="1" x14ac:dyDescent="0.35">
      <c r="A540" s="25"/>
      <c r="B540" s="6"/>
      <c r="C540" s="6"/>
      <c r="D540" s="6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25.5" customHeight="1" x14ac:dyDescent="0.35">
      <c r="A541" s="25"/>
      <c r="B541" s="6"/>
      <c r="C541" s="6"/>
      <c r="D541" s="6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25.5" customHeight="1" x14ac:dyDescent="0.35">
      <c r="A542" s="25"/>
      <c r="B542" s="6"/>
      <c r="C542" s="6"/>
      <c r="D542" s="6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25.5" customHeight="1" x14ac:dyDescent="0.35">
      <c r="A543" s="25"/>
      <c r="B543" s="6"/>
      <c r="C543" s="6"/>
      <c r="D543" s="6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25.5" customHeight="1" x14ac:dyDescent="0.35">
      <c r="A544" s="25"/>
      <c r="B544" s="6"/>
      <c r="C544" s="6"/>
      <c r="D544" s="6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25.5" customHeight="1" x14ac:dyDescent="0.35">
      <c r="A545" s="25"/>
      <c r="B545" s="6"/>
      <c r="C545" s="6"/>
      <c r="D545" s="6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25.5" customHeight="1" x14ac:dyDescent="0.35">
      <c r="A546" s="25"/>
      <c r="B546" s="6"/>
      <c r="C546" s="6"/>
      <c r="D546" s="6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25.5" customHeight="1" x14ac:dyDescent="0.35">
      <c r="A547" s="25"/>
      <c r="B547" s="6"/>
      <c r="C547" s="6"/>
      <c r="D547" s="6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25.5" customHeight="1" x14ac:dyDescent="0.35">
      <c r="A548" s="25"/>
      <c r="B548" s="6"/>
      <c r="C548" s="6"/>
      <c r="D548" s="6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25.5" customHeight="1" x14ac:dyDescent="0.35">
      <c r="A549" s="25"/>
      <c r="B549" s="6"/>
      <c r="C549" s="6"/>
      <c r="D549" s="6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25.5" customHeight="1" x14ac:dyDescent="0.35">
      <c r="A550" s="25"/>
      <c r="B550" s="6"/>
      <c r="C550" s="6"/>
      <c r="D550" s="6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25.5" customHeight="1" x14ac:dyDescent="0.35">
      <c r="A551" s="25"/>
      <c r="B551" s="6"/>
      <c r="C551" s="6"/>
      <c r="D551" s="6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25.5" customHeight="1" x14ac:dyDescent="0.35">
      <c r="A552" s="25"/>
      <c r="B552" s="6"/>
      <c r="C552" s="6"/>
      <c r="D552" s="6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25.5" customHeight="1" x14ac:dyDescent="0.35">
      <c r="A553" s="25"/>
      <c r="B553" s="6"/>
      <c r="C553" s="6"/>
      <c r="D553" s="6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25.5" customHeight="1" x14ac:dyDescent="0.35">
      <c r="A554" s="25"/>
      <c r="B554" s="6"/>
      <c r="C554" s="6"/>
      <c r="D554" s="6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25.5" customHeight="1" x14ac:dyDescent="0.35">
      <c r="A555" s="25"/>
      <c r="B555" s="6"/>
      <c r="C555" s="6"/>
      <c r="D555" s="6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25.5" customHeight="1" x14ac:dyDescent="0.35">
      <c r="A556" s="25"/>
      <c r="B556" s="6"/>
      <c r="C556" s="6"/>
      <c r="D556" s="6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25.5" customHeight="1" x14ac:dyDescent="0.35">
      <c r="A557" s="25"/>
      <c r="B557" s="6"/>
      <c r="C557" s="6"/>
      <c r="D557" s="6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25.5" customHeight="1" x14ac:dyDescent="0.35">
      <c r="A558" s="25"/>
      <c r="B558" s="6"/>
      <c r="C558" s="6"/>
      <c r="D558" s="6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25.5" customHeight="1" x14ac:dyDescent="0.35">
      <c r="A559" s="25"/>
      <c r="B559" s="6"/>
      <c r="C559" s="6"/>
      <c r="D559" s="6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25.5" customHeight="1" x14ac:dyDescent="0.35">
      <c r="A560" s="25"/>
      <c r="B560" s="6"/>
      <c r="C560" s="6"/>
      <c r="D560" s="6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25.5" customHeight="1" x14ac:dyDescent="0.35">
      <c r="A561" s="25"/>
      <c r="B561" s="6"/>
      <c r="C561" s="6"/>
      <c r="D561" s="6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25.5" customHeight="1" x14ac:dyDescent="0.35">
      <c r="A562" s="25"/>
      <c r="B562" s="6"/>
      <c r="C562" s="6"/>
      <c r="D562" s="6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25.5" customHeight="1" x14ac:dyDescent="0.35">
      <c r="A563" s="25"/>
      <c r="B563" s="6"/>
      <c r="C563" s="6"/>
      <c r="D563" s="6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25.5" customHeight="1" x14ac:dyDescent="0.35">
      <c r="A564" s="25"/>
      <c r="B564" s="6"/>
      <c r="C564" s="6"/>
      <c r="D564" s="6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25.5" customHeight="1" x14ac:dyDescent="0.35">
      <c r="A565" s="25"/>
      <c r="B565" s="6"/>
      <c r="C565" s="6"/>
      <c r="D565" s="6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25.5" customHeight="1" x14ac:dyDescent="0.35">
      <c r="A566" s="25"/>
      <c r="B566" s="6"/>
      <c r="C566" s="6"/>
      <c r="D566" s="6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25.5" customHeight="1" x14ac:dyDescent="0.35">
      <c r="A567" s="25"/>
      <c r="B567" s="6"/>
      <c r="C567" s="6"/>
      <c r="D567" s="6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25.5" customHeight="1" x14ac:dyDescent="0.35">
      <c r="A568" s="25"/>
      <c r="B568" s="6"/>
      <c r="C568" s="6"/>
      <c r="D568" s="6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25.5" customHeight="1" x14ac:dyDescent="0.35">
      <c r="A569" s="25"/>
      <c r="B569" s="6"/>
      <c r="C569" s="6"/>
      <c r="D569" s="6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25.5" customHeight="1" x14ac:dyDescent="0.35">
      <c r="A570" s="25"/>
      <c r="B570" s="6"/>
      <c r="C570" s="6"/>
      <c r="D570" s="6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25.5" customHeight="1" x14ac:dyDescent="0.35">
      <c r="A571" s="25"/>
      <c r="B571" s="6"/>
      <c r="C571" s="6"/>
      <c r="D571" s="6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25.5" customHeight="1" x14ac:dyDescent="0.35">
      <c r="A572" s="25"/>
      <c r="B572" s="6"/>
      <c r="C572" s="6"/>
      <c r="D572" s="6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25.5" customHeight="1" x14ac:dyDescent="0.35">
      <c r="A573" s="25"/>
      <c r="B573" s="6"/>
      <c r="C573" s="6"/>
      <c r="D573" s="6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25.5" customHeight="1" x14ac:dyDescent="0.35">
      <c r="A574" s="25"/>
      <c r="B574" s="6"/>
      <c r="C574" s="6"/>
      <c r="D574" s="6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25.5" customHeight="1" x14ac:dyDescent="0.35">
      <c r="A575" s="25"/>
      <c r="B575" s="6"/>
      <c r="C575" s="6"/>
      <c r="D575" s="6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25.5" customHeight="1" x14ac:dyDescent="0.35">
      <c r="A576" s="25"/>
      <c r="B576" s="6"/>
      <c r="C576" s="6"/>
      <c r="D576" s="6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25.5" customHeight="1" x14ac:dyDescent="0.35">
      <c r="A577" s="25"/>
      <c r="B577" s="6"/>
      <c r="C577" s="6"/>
      <c r="D577" s="6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25.5" customHeight="1" x14ac:dyDescent="0.35">
      <c r="A578" s="25"/>
      <c r="B578" s="6"/>
      <c r="C578" s="6"/>
      <c r="D578" s="6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25.5" customHeight="1" x14ac:dyDescent="0.35">
      <c r="A579" s="25"/>
      <c r="B579" s="6"/>
      <c r="C579" s="6"/>
      <c r="D579" s="6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25.5" customHeight="1" x14ac:dyDescent="0.35">
      <c r="A580" s="25"/>
      <c r="B580" s="6"/>
      <c r="C580" s="6"/>
      <c r="D580" s="6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25.5" customHeight="1" x14ac:dyDescent="0.35">
      <c r="A581" s="25"/>
      <c r="B581" s="6"/>
      <c r="C581" s="6"/>
      <c r="D581" s="6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25.5" customHeight="1" x14ac:dyDescent="0.35">
      <c r="A582" s="25"/>
      <c r="B582" s="6"/>
      <c r="C582" s="6"/>
      <c r="D582" s="6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25.5" customHeight="1" x14ac:dyDescent="0.35">
      <c r="A583" s="25"/>
      <c r="B583" s="6"/>
      <c r="C583" s="6"/>
      <c r="D583" s="6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25.5" customHeight="1" x14ac:dyDescent="0.35">
      <c r="A584" s="25"/>
      <c r="B584" s="6"/>
      <c r="C584" s="6"/>
      <c r="D584" s="6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25.5" customHeight="1" x14ac:dyDescent="0.35">
      <c r="A585" s="25"/>
      <c r="B585" s="6"/>
      <c r="C585" s="6"/>
      <c r="D585" s="6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25.5" customHeight="1" x14ac:dyDescent="0.35">
      <c r="A586" s="25"/>
      <c r="B586" s="6"/>
      <c r="C586" s="6"/>
      <c r="D586" s="6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25.5" customHeight="1" x14ac:dyDescent="0.35">
      <c r="A587" s="25"/>
      <c r="B587" s="6"/>
      <c r="C587" s="6"/>
      <c r="D587" s="6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25.5" customHeight="1" x14ac:dyDescent="0.35">
      <c r="A588" s="25"/>
      <c r="B588" s="6"/>
      <c r="C588" s="6"/>
      <c r="D588" s="6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25.5" customHeight="1" x14ac:dyDescent="0.35">
      <c r="A589" s="25"/>
      <c r="B589" s="6"/>
      <c r="C589" s="6"/>
      <c r="D589" s="6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25.5" customHeight="1" x14ac:dyDescent="0.35">
      <c r="A590" s="25"/>
      <c r="B590" s="6"/>
      <c r="C590" s="6"/>
      <c r="D590" s="6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25.5" customHeight="1" x14ac:dyDescent="0.35">
      <c r="A591" s="25"/>
      <c r="B591" s="6"/>
      <c r="C591" s="6"/>
      <c r="D591" s="6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25.5" customHeight="1" x14ac:dyDescent="0.35">
      <c r="A592" s="25"/>
      <c r="B592" s="6"/>
      <c r="C592" s="6"/>
      <c r="D592" s="6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25.5" customHeight="1" x14ac:dyDescent="0.35">
      <c r="A593" s="25"/>
      <c r="B593" s="6"/>
      <c r="C593" s="6"/>
      <c r="D593" s="6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25.5" customHeight="1" x14ac:dyDescent="0.35">
      <c r="A594" s="25"/>
      <c r="B594" s="6"/>
      <c r="C594" s="6"/>
      <c r="D594" s="6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25.5" customHeight="1" x14ac:dyDescent="0.35">
      <c r="A595" s="25"/>
      <c r="B595" s="6"/>
      <c r="C595" s="6"/>
      <c r="D595" s="6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25.5" customHeight="1" x14ac:dyDescent="0.35">
      <c r="A596" s="25"/>
      <c r="B596" s="6"/>
      <c r="C596" s="6"/>
      <c r="D596" s="6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25.5" customHeight="1" x14ac:dyDescent="0.35">
      <c r="A597" s="25"/>
      <c r="B597" s="6"/>
      <c r="C597" s="6"/>
      <c r="D597" s="6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25.5" customHeight="1" x14ac:dyDescent="0.35">
      <c r="A598" s="25"/>
      <c r="B598" s="6"/>
      <c r="C598" s="6"/>
      <c r="D598" s="6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25.5" customHeight="1" x14ac:dyDescent="0.35">
      <c r="A599" s="25"/>
      <c r="B599" s="6"/>
      <c r="C599" s="6"/>
      <c r="D599" s="6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25.5" customHeight="1" x14ac:dyDescent="0.35">
      <c r="A600" s="25"/>
      <c r="B600" s="6"/>
      <c r="C600" s="6"/>
      <c r="D600" s="6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25.5" customHeight="1" x14ac:dyDescent="0.35">
      <c r="A601" s="25"/>
      <c r="B601" s="6"/>
      <c r="C601" s="6"/>
      <c r="D601" s="6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25.5" customHeight="1" x14ac:dyDescent="0.35">
      <c r="A602" s="25"/>
      <c r="B602" s="6"/>
      <c r="C602" s="6"/>
      <c r="D602" s="6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25.5" customHeight="1" x14ac:dyDescent="0.35">
      <c r="A603" s="25"/>
      <c r="B603" s="6"/>
      <c r="C603" s="6"/>
      <c r="D603" s="6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25.5" customHeight="1" x14ac:dyDescent="0.35">
      <c r="A604" s="25"/>
      <c r="B604" s="6"/>
      <c r="C604" s="6"/>
      <c r="D604" s="6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25.5" customHeight="1" x14ac:dyDescent="0.35">
      <c r="A605" s="25"/>
      <c r="B605" s="6"/>
      <c r="C605" s="6"/>
      <c r="D605" s="6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25.5" customHeight="1" x14ac:dyDescent="0.35">
      <c r="A606" s="25"/>
      <c r="B606" s="6"/>
      <c r="C606" s="6"/>
      <c r="D606" s="6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25.5" customHeight="1" x14ac:dyDescent="0.35">
      <c r="A607" s="25"/>
      <c r="B607" s="6"/>
      <c r="C607" s="6"/>
      <c r="D607" s="6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25.5" customHeight="1" x14ac:dyDescent="0.35">
      <c r="A608" s="25"/>
      <c r="B608" s="6"/>
      <c r="C608" s="6"/>
      <c r="D608" s="6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25.5" customHeight="1" x14ac:dyDescent="0.35">
      <c r="A609" s="25"/>
      <c r="B609" s="6"/>
      <c r="C609" s="6"/>
      <c r="D609" s="6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25.5" customHeight="1" x14ac:dyDescent="0.35">
      <c r="A610" s="25"/>
      <c r="B610" s="6"/>
      <c r="C610" s="6"/>
      <c r="D610" s="6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25.5" customHeight="1" x14ac:dyDescent="0.35">
      <c r="A611" s="25"/>
      <c r="B611" s="6"/>
      <c r="C611" s="6"/>
      <c r="D611" s="6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25.5" customHeight="1" x14ac:dyDescent="0.35">
      <c r="A612" s="25"/>
      <c r="B612" s="6"/>
      <c r="C612" s="6"/>
      <c r="D612" s="6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25.5" customHeight="1" x14ac:dyDescent="0.35">
      <c r="A613" s="25"/>
      <c r="B613" s="6"/>
      <c r="C613" s="6"/>
      <c r="D613" s="6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25.5" customHeight="1" x14ac:dyDescent="0.35">
      <c r="A614" s="25"/>
      <c r="B614" s="6"/>
      <c r="C614" s="6"/>
      <c r="D614" s="6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25.5" customHeight="1" x14ac:dyDescent="0.35">
      <c r="A615" s="25"/>
      <c r="B615" s="6"/>
      <c r="C615" s="6"/>
      <c r="D615" s="6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25.5" customHeight="1" x14ac:dyDescent="0.35">
      <c r="A616" s="25"/>
      <c r="B616" s="6"/>
      <c r="C616" s="6"/>
      <c r="D616" s="6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25.5" customHeight="1" x14ac:dyDescent="0.35">
      <c r="A617" s="25"/>
      <c r="B617" s="6"/>
      <c r="C617" s="6"/>
      <c r="D617" s="6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25.5" customHeight="1" x14ac:dyDescent="0.35">
      <c r="A618" s="25"/>
      <c r="B618" s="6"/>
      <c r="C618" s="6"/>
      <c r="D618" s="6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25.5" customHeight="1" x14ac:dyDescent="0.35">
      <c r="A619" s="25"/>
      <c r="B619" s="6"/>
      <c r="C619" s="6"/>
      <c r="D619" s="6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25.5" customHeight="1" x14ac:dyDescent="0.35">
      <c r="A620" s="25"/>
      <c r="B620" s="6"/>
      <c r="C620" s="6"/>
      <c r="D620" s="6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25.5" customHeight="1" x14ac:dyDescent="0.35">
      <c r="A621" s="25"/>
      <c r="B621" s="6"/>
      <c r="C621" s="6"/>
      <c r="D621" s="6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25.5" customHeight="1" x14ac:dyDescent="0.35">
      <c r="A622" s="25"/>
      <c r="B622" s="6"/>
      <c r="C622" s="6"/>
      <c r="D622" s="6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25.5" customHeight="1" x14ac:dyDescent="0.35">
      <c r="A623" s="25"/>
      <c r="B623" s="6"/>
      <c r="C623" s="6"/>
      <c r="D623" s="6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25.5" customHeight="1" x14ac:dyDescent="0.35">
      <c r="A624" s="25"/>
      <c r="B624" s="6"/>
      <c r="C624" s="6"/>
      <c r="D624" s="6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25.5" customHeight="1" x14ac:dyDescent="0.35">
      <c r="A625" s="25"/>
      <c r="B625" s="6"/>
      <c r="C625" s="6"/>
      <c r="D625" s="6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25.5" customHeight="1" x14ac:dyDescent="0.35">
      <c r="A626" s="25"/>
      <c r="B626" s="6"/>
      <c r="C626" s="6"/>
      <c r="D626" s="6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25.5" customHeight="1" x14ac:dyDescent="0.35">
      <c r="A627" s="25"/>
      <c r="B627" s="6"/>
      <c r="C627" s="6"/>
      <c r="D627" s="6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25.5" customHeight="1" x14ac:dyDescent="0.35">
      <c r="A628" s="25"/>
      <c r="B628" s="6"/>
      <c r="C628" s="6"/>
      <c r="D628" s="6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25.5" customHeight="1" x14ac:dyDescent="0.35">
      <c r="A629" s="25"/>
      <c r="B629" s="6"/>
      <c r="C629" s="6"/>
      <c r="D629" s="6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25.5" customHeight="1" x14ac:dyDescent="0.35">
      <c r="A630" s="25"/>
      <c r="B630" s="6"/>
      <c r="C630" s="6"/>
      <c r="D630" s="6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25.5" customHeight="1" x14ac:dyDescent="0.35">
      <c r="A631" s="25"/>
      <c r="B631" s="6"/>
      <c r="C631" s="6"/>
      <c r="D631" s="6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25.5" customHeight="1" x14ac:dyDescent="0.35">
      <c r="A632" s="25"/>
      <c r="B632" s="6"/>
      <c r="C632" s="6"/>
      <c r="D632" s="6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25.5" customHeight="1" x14ac:dyDescent="0.35">
      <c r="A633" s="25"/>
      <c r="B633" s="6"/>
      <c r="C633" s="6"/>
      <c r="D633" s="6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25.5" customHeight="1" x14ac:dyDescent="0.35">
      <c r="A634" s="25"/>
      <c r="B634" s="6"/>
      <c r="C634" s="6"/>
      <c r="D634" s="6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25.5" customHeight="1" x14ac:dyDescent="0.35">
      <c r="A635" s="25"/>
      <c r="B635" s="6"/>
      <c r="C635" s="6"/>
      <c r="D635" s="6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25.5" customHeight="1" x14ac:dyDescent="0.35">
      <c r="A636" s="25"/>
      <c r="B636" s="6"/>
      <c r="C636" s="6"/>
      <c r="D636" s="6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25.5" customHeight="1" x14ac:dyDescent="0.35">
      <c r="A637" s="25"/>
      <c r="B637" s="6"/>
      <c r="C637" s="6"/>
      <c r="D637" s="6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25.5" customHeight="1" x14ac:dyDescent="0.35">
      <c r="A638" s="25"/>
      <c r="B638" s="6"/>
      <c r="C638" s="6"/>
      <c r="D638" s="6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25.5" customHeight="1" x14ac:dyDescent="0.35">
      <c r="A639" s="25"/>
      <c r="B639" s="6"/>
      <c r="C639" s="6"/>
      <c r="D639" s="6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25.5" customHeight="1" x14ac:dyDescent="0.35">
      <c r="A640" s="25"/>
      <c r="B640" s="6"/>
      <c r="C640" s="6"/>
      <c r="D640" s="6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25.5" customHeight="1" x14ac:dyDescent="0.35">
      <c r="A641" s="25"/>
      <c r="B641" s="6"/>
      <c r="C641" s="6"/>
      <c r="D641" s="6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25.5" customHeight="1" x14ac:dyDescent="0.35">
      <c r="A642" s="25"/>
      <c r="B642" s="6"/>
      <c r="C642" s="6"/>
      <c r="D642" s="6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25.5" customHeight="1" x14ac:dyDescent="0.35">
      <c r="A643" s="25"/>
      <c r="B643" s="6"/>
      <c r="C643" s="6"/>
      <c r="D643" s="6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25.5" customHeight="1" x14ac:dyDescent="0.35">
      <c r="A644" s="25"/>
      <c r="B644" s="6"/>
      <c r="C644" s="6"/>
      <c r="D644" s="6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25.5" customHeight="1" x14ac:dyDescent="0.35">
      <c r="A645" s="25"/>
      <c r="B645" s="6"/>
      <c r="C645" s="6"/>
      <c r="D645" s="6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25.5" customHeight="1" x14ac:dyDescent="0.35">
      <c r="A646" s="25"/>
      <c r="B646" s="6"/>
      <c r="C646" s="6"/>
      <c r="D646" s="6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25.5" customHeight="1" x14ac:dyDescent="0.35">
      <c r="A647" s="25"/>
      <c r="B647" s="6"/>
      <c r="C647" s="6"/>
      <c r="D647" s="6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25.5" customHeight="1" x14ac:dyDescent="0.35">
      <c r="A648" s="25"/>
      <c r="B648" s="6"/>
      <c r="C648" s="6"/>
      <c r="D648" s="6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25.5" customHeight="1" x14ac:dyDescent="0.35">
      <c r="A649" s="25"/>
      <c r="B649" s="6"/>
      <c r="C649" s="6"/>
      <c r="D649" s="6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25.5" customHeight="1" x14ac:dyDescent="0.35">
      <c r="A650" s="25"/>
      <c r="B650" s="6"/>
      <c r="C650" s="6"/>
      <c r="D650" s="6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25.5" customHeight="1" x14ac:dyDescent="0.35">
      <c r="A651" s="25"/>
      <c r="B651" s="6"/>
      <c r="C651" s="6"/>
      <c r="D651" s="6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25.5" customHeight="1" x14ac:dyDescent="0.35">
      <c r="A652" s="25"/>
      <c r="B652" s="6"/>
      <c r="C652" s="6"/>
      <c r="D652" s="6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25.5" customHeight="1" x14ac:dyDescent="0.35">
      <c r="A653" s="25"/>
      <c r="B653" s="6"/>
      <c r="C653" s="6"/>
      <c r="D653" s="6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25.5" customHeight="1" x14ac:dyDescent="0.35">
      <c r="A654" s="25"/>
      <c r="B654" s="6"/>
      <c r="C654" s="6"/>
      <c r="D654" s="6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25.5" customHeight="1" x14ac:dyDescent="0.35">
      <c r="A655" s="25"/>
      <c r="B655" s="6"/>
      <c r="C655" s="6"/>
      <c r="D655" s="6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25.5" customHeight="1" x14ac:dyDescent="0.35">
      <c r="A656" s="25"/>
      <c r="B656" s="6"/>
      <c r="C656" s="6"/>
      <c r="D656" s="6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25.5" customHeight="1" x14ac:dyDescent="0.35">
      <c r="A657" s="25"/>
      <c r="B657" s="6"/>
      <c r="C657" s="6"/>
      <c r="D657" s="6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25.5" customHeight="1" x14ac:dyDescent="0.35">
      <c r="A658" s="25"/>
      <c r="B658" s="6"/>
      <c r="C658" s="6"/>
      <c r="D658" s="6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25.5" customHeight="1" x14ac:dyDescent="0.35">
      <c r="A659" s="25"/>
      <c r="B659" s="6"/>
      <c r="C659" s="6"/>
      <c r="D659" s="6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25.5" customHeight="1" x14ac:dyDescent="0.35">
      <c r="A660" s="25"/>
      <c r="B660" s="6"/>
      <c r="C660" s="6"/>
      <c r="D660" s="6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25.5" customHeight="1" x14ac:dyDescent="0.35">
      <c r="A661" s="25"/>
      <c r="B661" s="6"/>
      <c r="C661" s="6"/>
      <c r="D661" s="6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25.5" customHeight="1" x14ac:dyDescent="0.35">
      <c r="A662" s="25"/>
      <c r="B662" s="6"/>
      <c r="C662" s="6"/>
      <c r="D662" s="6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25.5" customHeight="1" x14ac:dyDescent="0.35">
      <c r="A663" s="25"/>
      <c r="B663" s="6"/>
      <c r="C663" s="6"/>
      <c r="D663" s="6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25.5" customHeight="1" x14ac:dyDescent="0.35">
      <c r="A664" s="25"/>
      <c r="B664" s="6"/>
      <c r="C664" s="6"/>
      <c r="D664" s="6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25.5" customHeight="1" x14ac:dyDescent="0.35">
      <c r="A665" s="25"/>
      <c r="B665" s="6"/>
      <c r="C665" s="6"/>
      <c r="D665" s="6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25.5" customHeight="1" x14ac:dyDescent="0.35">
      <c r="A666" s="25"/>
      <c r="B666" s="6"/>
      <c r="C666" s="6"/>
      <c r="D666" s="6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25.5" customHeight="1" x14ac:dyDescent="0.35">
      <c r="A667" s="25"/>
      <c r="B667" s="6"/>
      <c r="C667" s="6"/>
      <c r="D667" s="6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25.5" customHeight="1" x14ac:dyDescent="0.35">
      <c r="A668" s="25"/>
      <c r="B668" s="6"/>
      <c r="C668" s="6"/>
      <c r="D668" s="6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25.5" customHeight="1" x14ac:dyDescent="0.35">
      <c r="A669" s="25"/>
      <c r="B669" s="6"/>
      <c r="C669" s="6"/>
      <c r="D669" s="6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25.5" customHeight="1" x14ac:dyDescent="0.35">
      <c r="A670" s="25"/>
      <c r="B670" s="6"/>
      <c r="C670" s="6"/>
      <c r="D670" s="6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25.5" customHeight="1" x14ac:dyDescent="0.35">
      <c r="A671" s="25"/>
      <c r="B671" s="6"/>
      <c r="C671" s="6"/>
      <c r="D671" s="6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25.5" customHeight="1" x14ac:dyDescent="0.35">
      <c r="A672" s="25"/>
      <c r="B672" s="6"/>
      <c r="C672" s="6"/>
      <c r="D672" s="6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25.5" customHeight="1" x14ac:dyDescent="0.35">
      <c r="A673" s="25"/>
      <c r="B673" s="6"/>
      <c r="C673" s="6"/>
      <c r="D673" s="6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25.5" customHeight="1" x14ac:dyDescent="0.35">
      <c r="A674" s="25"/>
      <c r="B674" s="6"/>
      <c r="C674" s="6"/>
      <c r="D674" s="6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25.5" customHeight="1" x14ac:dyDescent="0.35">
      <c r="A675" s="25"/>
      <c r="B675" s="6"/>
      <c r="C675" s="6"/>
      <c r="D675" s="6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25.5" customHeight="1" x14ac:dyDescent="0.35">
      <c r="A676" s="25"/>
      <c r="B676" s="6"/>
      <c r="C676" s="6"/>
      <c r="D676" s="6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25.5" customHeight="1" x14ac:dyDescent="0.35">
      <c r="A677" s="25"/>
      <c r="B677" s="6"/>
      <c r="C677" s="6"/>
      <c r="D677" s="6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25.5" customHeight="1" x14ac:dyDescent="0.35">
      <c r="A678" s="25"/>
      <c r="B678" s="6"/>
      <c r="C678" s="6"/>
      <c r="D678" s="6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25.5" customHeight="1" x14ac:dyDescent="0.35">
      <c r="A679" s="25"/>
      <c r="B679" s="6"/>
      <c r="C679" s="6"/>
      <c r="D679" s="6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25.5" customHeight="1" x14ac:dyDescent="0.35">
      <c r="A680" s="25"/>
      <c r="B680" s="6"/>
      <c r="C680" s="6"/>
      <c r="D680" s="6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25.5" customHeight="1" x14ac:dyDescent="0.35">
      <c r="A681" s="25"/>
      <c r="B681" s="6"/>
      <c r="C681" s="6"/>
      <c r="D681" s="6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25.5" customHeight="1" x14ac:dyDescent="0.35">
      <c r="A682" s="25"/>
      <c r="B682" s="6"/>
      <c r="C682" s="6"/>
      <c r="D682" s="6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25.5" customHeight="1" x14ac:dyDescent="0.35">
      <c r="A683" s="25"/>
      <c r="B683" s="6"/>
      <c r="C683" s="6"/>
      <c r="D683" s="6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25.5" customHeight="1" x14ac:dyDescent="0.35">
      <c r="A684" s="25"/>
      <c r="B684" s="6"/>
      <c r="C684" s="6"/>
      <c r="D684" s="6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25.5" customHeight="1" x14ac:dyDescent="0.35">
      <c r="A685" s="25"/>
      <c r="B685" s="6"/>
      <c r="C685" s="6"/>
      <c r="D685" s="6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25.5" customHeight="1" x14ac:dyDescent="0.35">
      <c r="A686" s="25"/>
      <c r="B686" s="6"/>
      <c r="C686" s="6"/>
      <c r="D686" s="6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25.5" customHeight="1" x14ac:dyDescent="0.35">
      <c r="A687" s="25"/>
      <c r="B687" s="6"/>
      <c r="C687" s="6"/>
      <c r="D687" s="6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25.5" customHeight="1" x14ac:dyDescent="0.35">
      <c r="A688" s="25"/>
      <c r="B688" s="6"/>
      <c r="C688" s="6"/>
      <c r="D688" s="6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25.5" customHeight="1" x14ac:dyDescent="0.35">
      <c r="A689" s="25"/>
      <c r="B689" s="6"/>
      <c r="C689" s="6"/>
      <c r="D689" s="6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25.5" customHeight="1" x14ac:dyDescent="0.35">
      <c r="A690" s="25"/>
      <c r="B690" s="6"/>
      <c r="C690" s="6"/>
      <c r="D690" s="6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25.5" customHeight="1" x14ac:dyDescent="0.35">
      <c r="A691" s="25"/>
      <c r="B691" s="6"/>
      <c r="C691" s="6"/>
      <c r="D691" s="6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25.5" customHeight="1" x14ac:dyDescent="0.35">
      <c r="A692" s="25"/>
      <c r="B692" s="6"/>
      <c r="C692" s="6"/>
      <c r="D692" s="6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25.5" customHeight="1" x14ac:dyDescent="0.35">
      <c r="A693" s="25"/>
      <c r="B693" s="6"/>
      <c r="C693" s="6"/>
      <c r="D693" s="6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25.5" customHeight="1" x14ac:dyDescent="0.35">
      <c r="A694" s="25"/>
      <c r="B694" s="6"/>
      <c r="C694" s="6"/>
      <c r="D694" s="6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 x14ac:dyDescent="0.35">
      <c r="A695" s="25"/>
      <c r="B695" s="25"/>
      <c r="C695" s="6"/>
      <c r="D695" s="6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 x14ac:dyDescent="0.35">
      <c r="A696" s="25"/>
      <c r="B696" s="25"/>
      <c r="C696" s="6"/>
      <c r="D696" s="6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 x14ac:dyDescent="0.35">
      <c r="A697" s="25"/>
      <c r="B697" s="25"/>
      <c r="C697" s="6"/>
      <c r="D697" s="6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 x14ac:dyDescent="0.35">
      <c r="A698" s="25"/>
      <c r="B698" s="25"/>
      <c r="C698" s="6"/>
      <c r="D698" s="6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 x14ac:dyDescent="0.35">
      <c r="A699" s="25"/>
      <c r="B699" s="25"/>
      <c r="C699" s="6"/>
      <c r="D699" s="6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 x14ac:dyDescent="0.35">
      <c r="A700" s="25"/>
      <c r="B700" s="25"/>
      <c r="C700" s="6"/>
      <c r="D700" s="6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 x14ac:dyDescent="0.35">
      <c r="A701" s="25"/>
      <c r="B701" s="25"/>
      <c r="C701" s="6"/>
      <c r="D701" s="6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 x14ac:dyDescent="0.35">
      <c r="A702" s="25"/>
      <c r="B702" s="25"/>
      <c r="C702" s="6"/>
      <c r="D702" s="6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 x14ac:dyDescent="0.35">
      <c r="A703" s="25"/>
      <c r="B703" s="25"/>
      <c r="C703" s="6"/>
      <c r="D703" s="6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 x14ac:dyDescent="0.35">
      <c r="A704" s="25"/>
      <c r="B704" s="25"/>
      <c r="C704" s="6"/>
      <c r="D704" s="6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 x14ac:dyDescent="0.35">
      <c r="A705" s="25"/>
      <c r="B705" s="25"/>
      <c r="C705" s="6"/>
      <c r="D705" s="6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 x14ac:dyDescent="0.35">
      <c r="A706" s="25"/>
      <c r="B706" s="25"/>
      <c r="C706" s="6"/>
      <c r="D706" s="6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 x14ac:dyDescent="0.35">
      <c r="A707" s="25"/>
      <c r="B707" s="25"/>
      <c r="C707" s="6"/>
      <c r="D707" s="6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 x14ac:dyDescent="0.35">
      <c r="A708" s="25"/>
      <c r="B708" s="25"/>
      <c r="C708" s="6"/>
      <c r="D708" s="6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 x14ac:dyDescent="0.35">
      <c r="A709" s="25"/>
      <c r="B709" s="25"/>
      <c r="C709" s="6"/>
      <c r="D709" s="6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 x14ac:dyDescent="0.35">
      <c r="A710" s="25"/>
      <c r="B710" s="25"/>
      <c r="C710" s="6"/>
      <c r="D710" s="6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 x14ac:dyDescent="0.35">
      <c r="A711" s="25"/>
      <c r="B711" s="25"/>
      <c r="C711" s="6"/>
      <c r="D711" s="6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 x14ac:dyDescent="0.35">
      <c r="A712" s="25"/>
      <c r="B712" s="25"/>
      <c r="C712" s="6"/>
      <c r="D712" s="6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 x14ac:dyDescent="0.35">
      <c r="A713" s="25"/>
      <c r="B713" s="25"/>
      <c r="C713" s="6"/>
      <c r="D713" s="6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 x14ac:dyDescent="0.35">
      <c r="A714" s="25"/>
      <c r="B714" s="25"/>
      <c r="C714" s="6"/>
      <c r="D714" s="6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 x14ac:dyDescent="0.35">
      <c r="A715" s="25"/>
      <c r="B715" s="25"/>
      <c r="C715" s="6"/>
      <c r="D715" s="6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 x14ac:dyDescent="0.35">
      <c r="A716" s="25"/>
      <c r="B716" s="25"/>
      <c r="C716" s="6"/>
      <c r="D716" s="6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 x14ac:dyDescent="0.35">
      <c r="A717" s="25"/>
      <c r="B717" s="25"/>
      <c r="C717" s="6"/>
      <c r="D717" s="6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 x14ac:dyDescent="0.35">
      <c r="A718" s="25"/>
      <c r="B718" s="25"/>
      <c r="C718" s="6"/>
      <c r="D718" s="6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 x14ac:dyDescent="0.35">
      <c r="A719" s="25"/>
      <c r="B719" s="25"/>
      <c r="C719" s="6"/>
      <c r="D719" s="6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 x14ac:dyDescent="0.35">
      <c r="A720" s="25"/>
      <c r="B720" s="25"/>
      <c r="C720" s="6"/>
      <c r="D720" s="6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 x14ac:dyDescent="0.35">
      <c r="A721" s="25"/>
      <c r="B721" s="25"/>
      <c r="C721" s="6"/>
      <c r="D721" s="6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 x14ac:dyDescent="0.35">
      <c r="A722" s="25"/>
      <c r="B722" s="25"/>
      <c r="C722" s="6"/>
      <c r="D722" s="6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 x14ac:dyDescent="0.35">
      <c r="A723" s="25"/>
      <c r="B723" s="25"/>
      <c r="C723" s="6"/>
      <c r="D723" s="6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 x14ac:dyDescent="0.35">
      <c r="A724" s="25"/>
      <c r="B724" s="25"/>
      <c r="C724" s="6"/>
      <c r="D724" s="6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 x14ac:dyDescent="0.35">
      <c r="A725" s="25"/>
      <c r="B725" s="25"/>
      <c r="C725" s="6"/>
      <c r="D725" s="6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 x14ac:dyDescent="0.35">
      <c r="A726" s="25"/>
      <c r="B726" s="25"/>
      <c r="C726" s="6"/>
      <c r="D726" s="6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 x14ac:dyDescent="0.35">
      <c r="A727" s="25"/>
      <c r="B727" s="25"/>
      <c r="C727" s="6"/>
      <c r="D727" s="6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 x14ac:dyDescent="0.35">
      <c r="A728" s="25"/>
      <c r="B728" s="25"/>
      <c r="C728" s="6"/>
      <c r="D728" s="6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 x14ac:dyDescent="0.35">
      <c r="A729" s="25"/>
      <c r="B729" s="25"/>
      <c r="C729" s="6"/>
      <c r="D729" s="6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 x14ac:dyDescent="0.35">
      <c r="A730" s="25"/>
      <c r="B730" s="25"/>
      <c r="C730" s="6"/>
      <c r="D730" s="6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 x14ac:dyDescent="0.35">
      <c r="A731" s="25"/>
      <c r="B731" s="25"/>
      <c r="C731" s="6"/>
      <c r="D731" s="6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 x14ac:dyDescent="0.35">
      <c r="A732" s="25"/>
      <c r="B732" s="25"/>
      <c r="C732" s="6"/>
      <c r="D732" s="6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 x14ac:dyDescent="0.35">
      <c r="A733" s="25"/>
      <c r="B733" s="25"/>
      <c r="C733" s="6"/>
      <c r="D733" s="6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 x14ac:dyDescent="0.35">
      <c r="A734" s="25"/>
      <c r="B734" s="25"/>
      <c r="C734" s="6"/>
      <c r="D734" s="6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 x14ac:dyDescent="0.35">
      <c r="A735" s="25"/>
      <c r="B735" s="25"/>
      <c r="C735" s="6"/>
      <c r="D735" s="6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 x14ac:dyDescent="0.35">
      <c r="A736" s="25"/>
      <c r="B736" s="25"/>
      <c r="C736" s="6"/>
      <c r="D736" s="6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 x14ac:dyDescent="0.35">
      <c r="A737" s="25"/>
      <c r="B737" s="25"/>
      <c r="C737" s="6"/>
      <c r="D737" s="6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 x14ac:dyDescent="0.35">
      <c r="A738" s="25"/>
      <c r="B738" s="25"/>
      <c r="C738" s="6"/>
      <c r="D738" s="6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 x14ac:dyDescent="0.35">
      <c r="A739" s="25"/>
      <c r="B739" s="25"/>
      <c r="C739" s="6"/>
      <c r="D739" s="6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 x14ac:dyDescent="0.35">
      <c r="A740" s="25"/>
      <c r="B740" s="25"/>
      <c r="C740" s="6"/>
      <c r="D740" s="6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 x14ac:dyDescent="0.35">
      <c r="A741" s="25"/>
      <c r="B741" s="25"/>
      <c r="C741" s="6"/>
      <c r="D741" s="6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 x14ac:dyDescent="0.35">
      <c r="A742" s="25"/>
      <c r="B742" s="25"/>
      <c r="C742" s="6"/>
      <c r="D742" s="6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 x14ac:dyDescent="0.35">
      <c r="A743" s="25"/>
      <c r="B743" s="25"/>
      <c r="C743" s="6"/>
      <c r="D743" s="6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 x14ac:dyDescent="0.35">
      <c r="A744" s="25"/>
      <c r="B744" s="25"/>
      <c r="C744" s="6"/>
      <c r="D744" s="6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 x14ac:dyDescent="0.35">
      <c r="A745" s="25"/>
      <c r="B745" s="25"/>
      <c r="C745" s="6"/>
      <c r="D745" s="6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 x14ac:dyDescent="0.35">
      <c r="A746" s="25"/>
      <c r="B746" s="25"/>
      <c r="C746" s="6"/>
      <c r="D746" s="6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 x14ac:dyDescent="0.35">
      <c r="A747" s="25"/>
      <c r="B747" s="25"/>
      <c r="C747" s="6"/>
      <c r="D747" s="6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 x14ac:dyDescent="0.35">
      <c r="A748" s="25"/>
      <c r="B748" s="25"/>
      <c r="C748" s="6"/>
      <c r="D748" s="6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 x14ac:dyDescent="0.35">
      <c r="A749" s="25"/>
      <c r="B749" s="25"/>
      <c r="C749" s="6"/>
      <c r="D749" s="6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 x14ac:dyDescent="0.35">
      <c r="A750" s="25"/>
      <c r="B750" s="25"/>
      <c r="C750" s="6"/>
      <c r="D750" s="6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 x14ac:dyDescent="0.35">
      <c r="A751" s="25"/>
      <c r="B751" s="25"/>
      <c r="C751" s="6"/>
      <c r="D751" s="6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 x14ac:dyDescent="0.35">
      <c r="A752" s="25"/>
      <c r="B752" s="25"/>
      <c r="C752" s="6"/>
      <c r="D752" s="6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 x14ac:dyDescent="0.35">
      <c r="A753" s="25"/>
      <c r="B753" s="25"/>
      <c r="C753" s="6"/>
      <c r="D753" s="6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 x14ac:dyDescent="0.35">
      <c r="A754" s="25"/>
      <c r="B754" s="25"/>
      <c r="C754" s="6"/>
      <c r="D754" s="6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 x14ac:dyDescent="0.35">
      <c r="A755" s="25"/>
      <c r="B755" s="25"/>
      <c r="C755" s="6"/>
      <c r="D755" s="6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 x14ac:dyDescent="0.35">
      <c r="A756" s="25"/>
      <c r="B756" s="25"/>
      <c r="C756" s="6"/>
      <c r="D756" s="6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 x14ac:dyDescent="0.35">
      <c r="A757" s="25"/>
      <c r="B757" s="25"/>
      <c r="C757" s="6"/>
      <c r="D757" s="6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 x14ac:dyDescent="0.35">
      <c r="A758" s="25"/>
      <c r="B758" s="25"/>
      <c r="C758" s="6"/>
      <c r="D758" s="6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 x14ac:dyDescent="0.35">
      <c r="A759" s="25"/>
      <c r="B759" s="25"/>
      <c r="C759" s="6"/>
      <c r="D759" s="6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 x14ac:dyDescent="0.35">
      <c r="A760" s="25"/>
      <c r="B760" s="25"/>
      <c r="C760" s="6"/>
      <c r="D760" s="6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 x14ac:dyDescent="0.35">
      <c r="A761" s="25"/>
      <c r="B761" s="25"/>
      <c r="C761" s="6"/>
      <c r="D761" s="6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 x14ac:dyDescent="0.35">
      <c r="A762" s="25"/>
      <c r="B762" s="25"/>
      <c r="C762" s="6"/>
      <c r="D762" s="6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 x14ac:dyDescent="0.35">
      <c r="A763" s="25"/>
      <c r="B763" s="25"/>
      <c r="C763" s="6"/>
      <c r="D763" s="6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 x14ac:dyDescent="0.35">
      <c r="A764" s="25"/>
      <c r="B764" s="25"/>
      <c r="C764" s="6"/>
      <c r="D764" s="6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 x14ac:dyDescent="0.35">
      <c r="A765" s="25"/>
      <c r="B765" s="25"/>
      <c r="C765" s="6"/>
      <c r="D765" s="6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 x14ac:dyDescent="0.35">
      <c r="A766" s="25"/>
      <c r="B766" s="25"/>
      <c r="C766" s="6"/>
      <c r="D766" s="6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 x14ac:dyDescent="0.35">
      <c r="A767" s="25"/>
      <c r="B767" s="25"/>
      <c r="C767" s="6"/>
      <c r="D767" s="6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 x14ac:dyDescent="0.35">
      <c r="A768" s="25"/>
      <c r="B768" s="25"/>
      <c r="C768" s="6"/>
      <c r="D768" s="6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 x14ac:dyDescent="0.35">
      <c r="A769" s="25"/>
      <c r="B769" s="25"/>
      <c r="C769" s="6"/>
      <c r="D769" s="6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 x14ac:dyDescent="0.35">
      <c r="A770" s="25"/>
      <c r="B770" s="25"/>
      <c r="C770" s="6"/>
      <c r="D770" s="6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 x14ac:dyDescent="0.35">
      <c r="A771" s="25"/>
      <c r="B771" s="25"/>
      <c r="C771" s="6"/>
      <c r="D771" s="6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 x14ac:dyDescent="0.35">
      <c r="A772" s="25"/>
      <c r="B772" s="25"/>
      <c r="C772" s="6"/>
      <c r="D772" s="6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 x14ac:dyDescent="0.35">
      <c r="A773" s="25"/>
      <c r="B773" s="25"/>
      <c r="C773" s="6"/>
      <c r="D773" s="6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 x14ac:dyDescent="0.35">
      <c r="A774" s="25"/>
      <c r="B774" s="25"/>
      <c r="C774" s="6"/>
      <c r="D774" s="6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 x14ac:dyDescent="0.35">
      <c r="A775" s="25"/>
      <c r="B775" s="25"/>
      <c r="C775" s="6"/>
      <c r="D775" s="6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 x14ac:dyDescent="0.35">
      <c r="A776" s="25"/>
      <c r="B776" s="25"/>
      <c r="C776" s="6"/>
      <c r="D776" s="6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 x14ac:dyDescent="0.35">
      <c r="A777" s="25"/>
      <c r="B777" s="25"/>
      <c r="C777" s="6"/>
      <c r="D777" s="6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 x14ac:dyDescent="0.35">
      <c r="A778" s="25"/>
      <c r="B778" s="25"/>
      <c r="C778" s="6"/>
      <c r="D778" s="6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 x14ac:dyDescent="0.35">
      <c r="A779" s="25"/>
      <c r="B779" s="25"/>
      <c r="C779" s="6"/>
      <c r="D779" s="6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 x14ac:dyDescent="0.35">
      <c r="A780" s="25"/>
      <c r="B780" s="25"/>
      <c r="C780" s="6"/>
      <c r="D780" s="6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 x14ac:dyDescent="0.35">
      <c r="A781" s="25"/>
      <c r="B781" s="25"/>
      <c r="C781" s="6"/>
      <c r="D781" s="6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 x14ac:dyDescent="0.35">
      <c r="A782" s="25"/>
      <c r="B782" s="25"/>
      <c r="C782" s="6"/>
      <c r="D782" s="6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 x14ac:dyDescent="0.35">
      <c r="A783" s="25"/>
      <c r="B783" s="25"/>
      <c r="C783" s="6"/>
      <c r="D783" s="6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 x14ac:dyDescent="0.35">
      <c r="A784" s="25"/>
      <c r="B784" s="25"/>
      <c r="C784" s="6"/>
      <c r="D784" s="6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 x14ac:dyDescent="0.35">
      <c r="A785" s="25"/>
      <c r="B785" s="25"/>
      <c r="C785" s="6"/>
      <c r="D785" s="6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 x14ac:dyDescent="0.35">
      <c r="A786" s="25"/>
      <c r="B786" s="25"/>
      <c r="C786" s="6"/>
      <c r="D786" s="6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 x14ac:dyDescent="0.35">
      <c r="A787" s="25"/>
      <c r="B787" s="25"/>
      <c r="C787" s="6"/>
      <c r="D787" s="6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 x14ac:dyDescent="0.35">
      <c r="A788" s="25"/>
      <c r="B788" s="25"/>
      <c r="C788" s="6"/>
      <c r="D788" s="6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 x14ac:dyDescent="0.35">
      <c r="A789" s="25"/>
      <c r="B789" s="25"/>
      <c r="C789" s="6"/>
      <c r="D789" s="6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 x14ac:dyDescent="0.35">
      <c r="A790" s="25"/>
      <c r="B790" s="25"/>
      <c r="C790" s="6"/>
      <c r="D790" s="6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 x14ac:dyDescent="0.35">
      <c r="A791" s="25"/>
      <c r="B791" s="25"/>
      <c r="C791" s="6"/>
      <c r="D791" s="6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 x14ac:dyDescent="0.35">
      <c r="A792" s="25"/>
      <c r="B792" s="25"/>
      <c r="C792" s="6"/>
      <c r="D792" s="6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 x14ac:dyDescent="0.35">
      <c r="A793" s="25"/>
      <c r="B793" s="25"/>
      <c r="C793" s="6"/>
      <c r="D793" s="6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 x14ac:dyDescent="0.35">
      <c r="A794" s="25"/>
      <c r="B794" s="25"/>
      <c r="C794" s="6"/>
      <c r="D794" s="6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 x14ac:dyDescent="0.35">
      <c r="A795" s="25"/>
      <c r="B795" s="25"/>
      <c r="C795" s="6"/>
      <c r="D795" s="6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 x14ac:dyDescent="0.35">
      <c r="A796" s="25"/>
      <c r="B796" s="25"/>
      <c r="C796" s="6"/>
      <c r="D796" s="6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 x14ac:dyDescent="0.35">
      <c r="A797" s="25"/>
      <c r="B797" s="25"/>
      <c r="C797" s="6"/>
      <c r="D797" s="6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 x14ac:dyDescent="0.35">
      <c r="A798" s="25"/>
      <c r="B798" s="25"/>
      <c r="C798" s="6"/>
      <c r="D798" s="6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 x14ac:dyDescent="0.35">
      <c r="A799" s="25"/>
      <c r="B799" s="25"/>
      <c r="C799" s="6"/>
      <c r="D799" s="6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 x14ac:dyDescent="0.35">
      <c r="A800" s="25"/>
      <c r="B800" s="25"/>
      <c r="C800" s="6"/>
      <c r="D800" s="6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 x14ac:dyDescent="0.35">
      <c r="A801" s="25"/>
      <c r="B801" s="25"/>
      <c r="C801" s="6"/>
      <c r="D801" s="6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 x14ac:dyDescent="0.35">
      <c r="A802" s="25"/>
      <c r="B802" s="25"/>
      <c r="C802" s="6"/>
      <c r="D802" s="6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 x14ac:dyDescent="0.35">
      <c r="A803" s="25"/>
      <c r="B803" s="25"/>
      <c r="C803" s="6"/>
      <c r="D803" s="6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 x14ac:dyDescent="0.35">
      <c r="A804" s="25"/>
      <c r="B804" s="25"/>
      <c r="C804" s="6"/>
      <c r="D804" s="6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 x14ac:dyDescent="0.35">
      <c r="A805" s="25"/>
      <c r="B805" s="25"/>
      <c r="C805" s="6"/>
      <c r="D805" s="6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 x14ac:dyDescent="0.35">
      <c r="A806" s="25"/>
      <c r="B806" s="25"/>
      <c r="C806" s="6"/>
      <c r="D806" s="6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 x14ac:dyDescent="0.35">
      <c r="A807" s="25"/>
      <c r="B807" s="25"/>
      <c r="C807" s="6"/>
      <c r="D807" s="6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 x14ac:dyDescent="0.35">
      <c r="A808" s="25"/>
      <c r="B808" s="25"/>
      <c r="C808" s="6"/>
      <c r="D808" s="6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 x14ac:dyDescent="0.35">
      <c r="A809" s="25"/>
      <c r="B809" s="25"/>
      <c r="C809" s="6"/>
      <c r="D809" s="6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 x14ac:dyDescent="0.35">
      <c r="A810" s="25"/>
      <c r="B810" s="25"/>
      <c r="C810" s="6"/>
      <c r="D810" s="6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 x14ac:dyDescent="0.35">
      <c r="A811" s="25"/>
      <c r="B811" s="25"/>
      <c r="C811" s="6"/>
      <c r="D811" s="6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 x14ac:dyDescent="0.35">
      <c r="A812" s="25"/>
      <c r="B812" s="25"/>
      <c r="C812" s="6"/>
      <c r="D812" s="6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 x14ac:dyDescent="0.35">
      <c r="A813" s="25"/>
      <c r="B813" s="25"/>
      <c r="C813" s="6"/>
      <c r="D813" s="6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 x14ac:dyDescent="0.35">
      <c r="A814" s="25"/>
      <c r="B814" s="25"/>
      <c r="C814" s="6"/>
      <c r="D814" s="6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 x14ac:dyDescent="0.35">
      <c r="A815" s="25"/>
      <c r="B815" s="25"/>
      <c r="C815" s="6"/>
      <c r="D815" s="6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 x14ac:dyDescent="0.35">
      <c r="A816" s="25"/>
      <c r="B816" s="25"/>
      <c r="C816" s="6"/>
      <c r="D816" s="6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 x14ac:dyDescent="0.35">
      <c r="A817" s="25"/>
      <c r="B817" s="25"/>
      <c r="C817" s="6"/>
      <c r="D817" s="6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 x14ac:dyDescent="0.35">
      <c r="A818" s="25"/>
      <c r="B818" s="25"/>
      <c r="C818" s="6"/>
      <c r="D818" s="6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 x14ac:dyDescent="0.35">
      <c r="A819" s="25"/>
      <c r="B819" s="25"/>
      <c r="C819" s="6"/>
      <c r="D819" s="6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 x14ac:dyDescent="0.35">
      <c r="A820" s="25"/>
      <c r="B820" s="25"/>
      <c r="C820" s="6"/>
      <c r="D820" s="6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 x14ac:dyDescent="0.35">
      <c r="A821" s="25"/>
      <c r="B821" s="25"/>
      <c r="C821" s="6"/>
      <c r="D821" s="6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 x14ac:dyDescent="0.35">
      <c r="A822" s="25"/>
      <c r="B822" s="25"/>
      <c r="C822" s="6"/>
      <c r="D822" s="6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 x14ac:dyDescent="0.35">
      <c r="A823" s="25"/>
      <c r="B823" s="25"/>
      <c r="C823" s="6"/>
      <c r="D823" s="6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 x14ac:dyDescent="0.35">
      <c r="A824" s="25"/>
      <c r="B824" s="25"/>
      <c r="C824" s="6"/>
      <c r="D824" s="6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 x14ac:dyDescent="0.35">
      <c r="A825" s="25"/>
      <c r="B825" s="25"/>
      <c r="C825" s="6"/>
      <c r="D825" s="6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 x14ac:dyDescent="0.35">
      <c r="A826" s="25"/>
      <c r="B826" s="25"/>
      <c r="C826" s="6"/>
      <c r="D826" s="6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 x14ac:dyDescent="0.35">
      <c r="A827" s="25"/>
      <c r="B827" s="25"/>
      <c r="C827" s="6"/>
      <c r="D827" s="6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 x14ac:dyDescent="0.35">
      <c r="A828" s="25"/>
      <c r="B828" s="25"/>
      <c r="C828" s="6"/>
      <c r="D828" s="6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 x14ac:dyDescent="0.35">
      <c r="A829" s="25"/>
      <c r="B829" s="25"/>
      <c r="C829" s="6"/>
      <c r="D829" s="6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 x14ac:dyDescent="0.35">
      <c r="A830" s="25"/>
      <c r="B830" s="25"/>
      <c r="C830" s="6"/>
      <c r="D830" s="6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 x14ac:dyDescent="0.35">
      <c r="A831" s="25"/>
      <c r="B831" s="25"/>
      <c r="C831" s="6"/>
      <c r="D831" s="6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 x14ac:dyDescent="0.35">
      <c r="A832" s="25"/>
      <c r="B832" s="25"/>
      <c r="C832" s="6"/>
      <c r="D832" s="6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 x14ac:dyDescent="0.35">
      <c r="A833" s="25"/>
      <c r="B833" s="25"/>
      <c r="C833" s="6"/>
      <c r="D833" s="6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 x14ac:dyDescent="0.35">
      <c r="A834" s="25"/>
      <c r="B834" s="25"/>
      <c r="C834" s="6"/>
      <c r="D834" s="6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 x14ac:dyDescent="0.35">
      <c r="A835" s="25"/>
      <c r="B835" s="25"/>
      <c r="C835" s="6"/>
      <c r="D835" s="6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 x14ac:dyDescent="0.35">
      <c r="A836" s="25"/>
      <c r="B836" s="25"/>
      <c r="C836" s="6"/>
      <c r="D836" s="6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 x14ac:dyDescent="0.35">
      <c r="A837" s="25"/>
      <c r="B837" s="25"/>
      <c r="C837" s="6"/>
      <c r="D837" s="6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 x14ac:dyDescent="0.35">
      <c r="A838" s="25"/>
      <c r="B838" s="25"/>
      <c r="C838" s="6"/>
      <c r="D838" s="6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 x14ac:dyDescent="0.35">
      <c r="A839" s="25"/>
      <c r="B839" s="25"/>
      <c r="C839" s="6"/>
      <c r="D839" s="6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 x14ac:dyDescent="0.35">
      <c r="A840" s="25"/>
      <c r="B840" s="25"/>
      <c r="C840" s="6"/>
      <c r="D840" s="6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 x14ac:dyDescent="0.35">
      <c r="A841" s="25"/>
      <c r="B841" s="25"/>
      <c r="C841" s="6"/>
      <c r="D841" s="6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 x14ac:dyDescent="0.35">
      <c r="A842" s="25"/>
      <c r="B842" s="25"/>
      <c r="C842" s="6"/>
      <c r="D842" s="6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 x14ac:dyDescent="0.35">
      <c r="A843" s="25"/>
      <c r="B843" s="25"/>
      <c r="C843" s="6"/>
      <c r="D843" s="6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 x14ac:dyDescent="0.35">
      <c r="A844" s="25"/>
      <c r="B844" s="25"/>
      <c r="C844" s="6"/>
      <c r="D844" s="6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 x14ac:dyDescent="0.35">
      <c r="A845" s="25"/>
      <c r="B845" s="25"/>
      <c r="C845" s="6"/>
      <c r="D845" s="6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 x14ac:dyDescent="0.35">
      <c r="A846" s="25"/>
      <c r="B846" s="25"/>
      <c r="C846" s="6"/>
      <c r="D846" s="6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 x14ac:dyDescent="0.35">
      <c r="A847" s="25"/>
      <c r="B847" s="25"/>
      <c r="C847" s="6"/>
      <c r="D847" s="6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 x14ac:dyDescent="0.35">
      <c r="A848" s="25"/>
      <c r="B848" s="25"/>
      <c r="C848" s="6"/>
      <c r="D848" s="6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 x14ac:dyDescent="0.35">
      <c r="A849" s="25"/>
      <c r="B849" s="25"/>
      <c r="C849" s="6"/>
      <c r="D849" s="6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 x14ac:dyDescent="0.35">
      <c r="A850" s="25"/>
      <c r="B850" s="25"/>
      <c r="C850" s="6"/>
      <c r="D850" s="6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 x14ac:dyDescent="0.35">
      <c r="A851" s="25"/>
      <c r="B851" s="25"/>
      <c r="C851" s="6"/>
      <c r="D851" s="6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 x14ac:dyDescent="0.35">
      <c r="A852" s="25"/>
      <c r="B852" s="25"/>
      <c r="C852" s="6"/>
      <c r="D852" s="6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 x14ac:dyDescent="0.35">
      <c r="A853" s="25"/>
      <c r="B853" s="25"/>
      <c r="C853" s="6"/>
      <c r="D853" s="6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 x14ac:dyDescent="0.35">
      <c r="A854" s="25"/>
      <c r="B854" s="25"/>
      <c r="C854" s="6"/>
      <c r="D854" s="6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 x14ac:dyDescent="0.35">
      <c r="A855" s="25"/>
      <c r="B855" s="25"/>
      <c r="C855" s="6"/>
      <c r="D855" s="6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 x14ac:dyDescent="0.35">
      <c r="A856" s="25"/>
      <c r="B856" s="25"/>
      <c r="C856" s="6"/>
      <c r="D856" s="6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 x14ac:dyDescent="0.35">
      <c r="A857" s="25"/>
      <c r="B857" s="25"/>
      <c r="C857" s="6"/>
      <c r="D857" s="6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 x14ac:dyDescent="0.35">
      <c r="A858" s="25"/>
      <c r="B858" s="25"/>
      <c r="C858" s="6"/>
      <c r="D858" s="6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 x14ac:dyDescent="0.35">
      <c r="A859" s="25"/>
      <c r="B859" s="25"/>
      <c r="C859" s="6"/>
      <c r="D859" s="6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 x14ac:dyDescent="0.35">
      <c r="A860" s="25"/>
      <c r="B860" s="25"/>
      <c r="C860" s="6"/>
      <c r="D860" s="6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 x14ac:dyDescent="0.35">
      <c r="A861" s="25"/>
      <c r="B861" s="25"/>
      <c r="C861" s="6"/>
      <c r="D861" s="6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 x14ac:dyDescent="0.35">
      <c r="A862" s="25"/>
      <c r="B862" s="25"/>
      <c r="C862" s="6"/>
      <c r="D862" s="6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 x14ac:dyDescent="0.35">
      <c r="A863" s="25"/>
      <c r="B863" s="25"/>
      <c r="C863" s="6"/>
      <c r="D863" s="6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 x14ac:dyDescent="0.35">
      <c r="A864" s="25"/>
      <c r="B864" s="25"/>
      <c r="C864" s="6"/>
      <c r="D864" s="6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 x14ac:dyDescent="0.35">
      <c r="A865" s="25"/>
      <c r="B865" s="25"/>
      <c r="C865" s="6"/>
      <c r="D865" s="6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 x14ac:dyDescent="0.35">
      <c r="A866" s="25"/>
      <c r="B866" s="25"/>
      <c r="C866" s="6"/>
      <c r="D866" s="6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 x14ac:dyDescent="0.35">
      <c r="A867" s="25"/>
      <c r="B867" s="25"/>
      <c r="C867" s="6"/>
      <c r="D867" s="6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 x14ac:dyDescent="0.35">
      <c r="A868" s="25"/>
      <c r="B868" s="25"/>
      <c r="C868" s="6"/>
      <c r="D868" s="6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 x14ac:dyDescent="0.35">
      <c r="A869" s="25"/>
      <c r="B869" s="25"/>
      <c r="C869" s="6"/>
      <c r="D869" s="6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 x14ac:dyDescent="0.35">
      <c r="A870" s="25"/>
      <c r="B870" s="25"/>
      <c r="C870" s="6"/>
      <c r="D870" s="6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 x14ac:dyDescent="0.35">
      <c r="A871" s="25"/>
      <c r="B871" s="25"/>
      <c r="C871" s="6"/>
      <c r="D871" s="6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 x14ac:dyDescent="0.35">
      <c r="A872" s="25"/>
      <c r="B872" s="25"/>
      <c r="C872" s="6"/>
      <c r="D872" s="6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 x14ac:dyDescent="0.35">
      <c r="A873" s="25"/>
      <c r="B873" s="25"/>
      <c r="C873" s="6"/>
      <c r="D873" s="6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 x14ac:dyDescent="0.35">
      <c r="A874" s="25"/>
      <c r="B874" s="25"/>
      <c r="C874" s="6"/>
      <c r="D874" s="6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 x14ac:dyDescent="0.35">
      <c r="A875" s="25"/>
      <c r="B875" s="25"/>
      <c r="C875" s="6"/>
      <c r="D875" s="6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 x14ac:dyDescent="0.35">
      <c r="A876" s="25"/>
      <c r="B876" s="25"/>
      <c r="C876" s="6"/>
      <c r="D876" s="6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 x14ac:dyDescent="0.35">
      <c r="A877" s="25"/>
      <c r="B877" s="25"/>
      <c r="C877" s="6"/>
      <c r="D877" s="6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 x14ac:dyDescent="0.35">
      <c r="A878" s="25"/>
      <c r="B878" s="25"/>
      <c r="C878" s="6"/>
      <c r="D878" s="6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 x14ac:dyDescent="0.35">
      <c r="A879" s="25"/>
      <c r="B879" s="25"/>
      <c r="C879" s="6"/>
      <c r="D879" s="6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 x14ac:dyDescent="0.35">
      <c r="A880" s="25"/>
      <c r="B880" s="25"/>
      <c r="C880" s="6"/>
      <c r="D880" s="6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 x14ac:dyDescent="0.35">
      <c r="A881" s="25"/>
      <c r="B881" s="25"/>
      <c r="C881" s="6"/>
      <c r="D881" s="6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 x14ac:dyDescent="0.35">
      <c r="A882" s="25"/>
      <c r="B882" s="25"/>
      <c r="C882" s="6"/>
      <c r="D882" s="6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 x14ac:dyDescent="0.35">
      <c r="A883" s="25"/>
      <c r="B883" s="25"/>
      <c r="C883" s="6"/>
      <c r="D883" s="6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 x14ac:dyDescent="0.35">
      <c r="A884" s="25"/>
      <c r="B884" s="25"/>
      <c r="C884" s="6"/>
      <c r="D884" s="6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 x14ac:dyDescent="0.35">
      <c r="A885" s="25"/>
      <c r="B885" s="25"/>
      <c r="C885" s="6"/>
      <c r="D885" s="6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 x14ac:dyDescent="0.35">
      <c r="A886" s="25"/>
      <c r="B886" s="25"/>
      <c r="C886" s="6"/>
      <c r="D886" s="6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 x14ac:dyDescent="0.35">
      <c r="A887" s="25"/>
      <c r="B887" s="25"/>
      <c r="C887" s="6"/>
      <c r="D887" s="6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 x14ac:dyDescent="0.35">
      <c r="A888" s="25"/>
      <c r="B888" s="25"/>
      <c r="C888" s="6"/>
      <c r="D888" s="6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 x14ac:dyDescent="0.35">
      <c r="A889" s="25"/>
      <c r="B889" s="25"/>
      <c r="C889" s="6"/>
      <c r="D889" s="6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 x14ac:dyDescent="0.35">
      <c r="A890" s="25"/>
      <c r="B890" s="25"/>
      <c r="C890" s="6"/>
      <c r="D890" s="6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 x14ac:dyDescent="0.35">
      <c r="A891" s="25"/>
      <c r="B891" s="25"/>
      <c r="C891" s="6"/>
      <c r="D891" s="6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 x14ac:dyDescent="0.35">
      <c r="A892" s="25"/>
      <c r="B892" s="25"/>
      <c r="C892" s="6"/>
      <c r="D892" s="6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 x14ac:dyDescent="0.35">
      <c r="A893" s="25"/>
      <c r="B893" s="25"/>
      <c r="C893" s="6"/>
      <c r="D893" s="6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 x14ac:dyDescent="0.35">
      <c r="A894" s="25"/>
      <c r="B894" s="25"/>
      <c r="C894" s="6"/>
      <c r="D894" s="6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 x14ac:dyDescent="0.35">
      <c r="A895" s="25"/>
      <c r="B895" s="25"/>
      <c r="C895" s="6"/>
      <c r="D895" s="6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 x14ac:dyDescent="0.35">
      <c r="A896" s="25"/>
      <c r="B896" s="25"/>
      <c r="C896" s="6"/>
      <c r="D896" s="6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 x14ac:dyDescent="0.35">
      <c r="A897" s="25"/>
      <c r="B897" s="25"/>
      <c r="C897" s="6"/>
      <c r="D897" s="6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 x14ac:dyDescent="0.35">
      <c r="A898" s="25"/>
      <c r="B898" s="25"/>
      <c r="C898" s="6"/>
      <c r="D898" s="6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 x14ac:dyDescent="0.35">
      <c r="A899" s="25"/>
      <c r="B899" s="25"/>
      <c r="C899" s="6"/>
      <c r="D899" s="6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 x14ac:dyDescent="0.35">
      <c r="A900" s="25"/>
      <c r="B900" s="25"/>
      <c r="C900" s="6"/>
      <c r="D900" s="6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 x14ac:dyDescent="0.35">
      <c r="A901" s="25"/>
      <c r="B901" s="25"/>
      <c r="C901" s="6"/>
      <c r="D901" s="6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 x14ac:dyDescent="0.35">
      <c r="A902" s="25"/>
      <c r="B902" s="25"/>
      <c r="C902" s="6"/>
      <c r="D902" s="6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 x14ac:dyDescent="0.35">
      <c r="A903" s="25"/>
      <c r="B903" s="25"/>
      <c r="C903" s="6"/>
      <c r="D903" s="6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 x14ac:dyDescent="0.35">
      <c r="A904" s="25"/>
      <c r="B904" s="25"/>
      <c r="C904" s="6"/>
      <c r="D904" s="6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 x14ac:dyDescent="0.35">
      <c r="A905" s="25"/>
      <c r="B905" s="25"/>
      <c r="C905" s="6"/>
      <c r="D905" s="6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 x14ac:dyDescent="0.35">
      <c r="A906" s="25"/>
      <c r="B906" s="25"/>
      <c r="C906" s="6"/>
      <c r="D906" s="6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 x14ac:dyDescent="0.35">
      <c r="A907" s="25"/>
      <c r="B907" s="25"/>
      <c r="C907" s="6"/>
      <c r="D907" s="6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 x14ac:dyDescent="0.35">
      <c r="A908" s="25"/>
      <c r="B908" s="25"/>
      <c r="C908" s="6"/>
      <c r="D908" s="6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 x14ac:dyDescent="0.35">
      <c r="A909" s="25"/>
      <c r="B909" s="25"/>
      <c r="C909" s="6"/>
      <c r="D909" s="6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 x14ac:dyDescent="0.35">
      <c r="A910" s="25"/>
      <c r="B910" s="25"/>
      <c r="C910" s="6"/>
      <c r="D910" s="6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 x14ac:dyDescent="0.35">
      <c r="A911" s="25"/>
      <c r="B911" s="25"/>
      <c r="C911" s="6"/>
      <c r="D911" s="6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 x14ac:dyDescent="0.35">
      <c r="A912" s="25"/>
      <c r="B912" s="25"/>
      <c r="C912" s="6"/>
      <c r="D912" s="6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 x14ac:dyDescent="0.35">
      <c r="A913" s="25"/>
      <c r="B913" s="25"/>
      <c r="C913" s="6"/>
      <c r="D913" s="6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 x14ac:dyDescent="0.35">
      <c r="A914" s="25"/>
      <c r="B914" s="25"/>
      <c r="C914" s="6"/>
      <c r="D914" s="6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 x14ac:dyDescent="0.35">
      <c r="A915" s="25"/>
      <c r="B915" s="25"/>
      <c r="C915" s="6"/>
      <c r="D915" s="6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 x14ac:dyDescent="0.35">
      <c r="A916" s="25"/>
      <c r="B916" s="25"/>
      <c r="C916" s="6"/>
      <c r="D916" s="6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 x14ac:dyDescent="0.35">
      <c r="A917" s="25"/>
      <c r="B917" s="25"/>
      <c r="C917" s="6"/>
      <c r="D917" s="6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 x14ac:dyDescent="0.35">
      <c r="A918" s="25"/>
      <c r="B918" s="25"/>
      <c r="C918" s="6"/>
      <c r="D918" s="6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 x14ac:dyDescent="0.35">
      <c r="A919" s="25"/>
      <c r="B919" s="25"/>
      <c r="C919" s="6"/>
      <c r="D919" s="6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 x14ac:dyDescent="0.35">
      <c r="A920" s="25"/>
      <c r="B920" s="25"/>
      <c r="C920" s="6"/>
      <c r="D920" s="6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 x14ac:dyDescent="0.35">
      <c r="A921" s="25"/>
      <c r="B921" s="25"/>
      <c r="C921" s="6"/>
      <c r="D921" s="6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 x14ac:dyDescent="0.35">
      <c r="A922" s="25"/>
      <c r="B922" s="25"/>
      <c r="C922" s="6"/>
      <c r="D922" s="6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 x14ac:dyDescent="0.35">
      <c r="A923" s="25"/>
      <c r="B923" s="25"/>
      <c r="C923" s="6"/>
      <c r="D923" s="6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 x14ac:dyDescent="0.35">
      <c r="A924" s="25"/>
      <c r="B924" s="25"/>
      <c r="C924" s="6"/>
      <c r="D924" s="6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 x14ac:dyDescent="0.35">
      <c r="A925" s="25"/>
      <c r="B925" s="25"/>
      <c r="C925" s="6"/>
      <c r="D925" s="6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 x14ac:dyDescent="0.35">
      <c r="A926" s="25"/>
      <c r="B926" s="25"/>
      <c r="C926" s="6"/>
      <c r="D926" s="6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 x14ac:dyDescent="0.35">
      <c r="A927" s="25"/>
      <c r="B927" s="25"/>
      <c r="C927" s="6"/>
      <c r="D927" s="6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 x14ac:dyDescent="0.35">
      <c r="A928" s="25"/>
      <c r="B928" s="25"/>
      <c r="C928" s="6"/>
      <c r="D928" s="6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 x14ac:dyDescent="0.35">
      <c r="A929" s="25"/>
      <c r="B929" s="25"/>
      <c r="C929" s="6"/>
      <c r="D929" s="6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 x14ac:dyDescent="0.35">
      <c r="A930" s="25"/>
      <c r="B930" s="25"/>
      <c r="C930" s="6"/>
      <c r="D930" s="6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 x14ac:dyDescent="0.35">
      <c r="A931" s="25"/>
      <c r="B931" s="25"/>
      <c r="C931" s="6"/>
      <c r="D931" s="6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 x14ac:dyDescent="0.35">
      <c r="A932" s="25"/>
      <c r="B932" s="25"/>
      <c r="C932" s="6"/>
      <c r="D932" s="6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 x14ac:dyDescent="0.35">
      <c r="A933" s="25"/>
      <c r="B933" s="25"/>
      <c r="C933" s="6"/>
      <c r="D933" s="6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 x14ac:dyDescent="0.35">
      <c r="A934" s="25"/>
      <c r="B934" s="25"/>
      <c r="C934" s="6"/>
      <c r="D934" s="6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 x14ac:dyDescent="0.35">
      <c r="A935" s="25"/>
      <c r="B935" s="25"/>
      <c r="C935" s="6"/>
      <c r="D935" s="6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 x14ac:dyDescent="0.35">
      <c r="A936" s="25"/>
      <c r="B936" s="25"/>
      <c r="C936" s="6"/>
      <c r="D936" s="6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 x14ac:dyDescent="0.35">
      <c r="A937" s="25"/>
      <c r="B937" s="25"/>
      <c r="C937" s="6"/>
      <c r="D937" s="6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 x14ac:dyDescent="0.35">
      <c r="A938" s="25"/>
      <c r="B938" s="25"/>
      <c r="C938" s="6"/>
      <c r="D938" s="6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 x14ac:dyDescent="0.35">
      <c r="A939" s="25"/>
      <c r="B939" s="25"/>
      <c r="C939" s="6"/>
      <c r="D939" s="6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 x14ac:dyDescent="0.35">
      <c r="A940" s="25"/>
      <c r="B940" s="25"/>
      <c r="C940" s="6"/>
      <c r="D940" s="6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 x14ac:dyDescent="0.35">
      <c r="A941" s="25"/>
      <c r="B941" s="25"/>
      <c r="C941" s="6"/>
      <c r="D941" s="6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 x14ac:dyDescent="0.35">
      <c r="A942" s="25"/>
      <c r="B942" s="25"/>
      <c r="C942" s="6"/>
      <c r="D942" s="6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 x14ac:dyDescent="0.35">
      <c r="A943" s="25"/>
      <c r="B943" s="25"/>
      <c r="C943" s="6"/>
      <c r="D943" s="6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 x14ac:dyDescent="0.35">
      <c r="A944" s="25"/>
      <c r="B944" s="25"/>
      <c r="C944" s="6"/>
      <c r="D944" s="6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 x14ac:dyDescent="0.35">
      <c r="A945" s="25"/>
      <c r="B945" s="25"/>
      <c r="C945" s="6"/>
      <c r="D945" s="6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 x14ac:dyDescent="0.35">
      <c r="A946" s="25"/>
      <c r="B946" s="25"/>
      <c r="C946" s="6"/>
      <c r="D946" s="6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 x14ac:dyDescent="0.35">
      <c r="A947" s="25"/>
      <c r="B947" s="25"/>
      <c r="C947" s="6"/>
      <c r="D947" s="6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 x14ac:dyDescent="0.35">
      <c r="A948" s="25"/>
      <c r="B948" s="25"/>
      <c r="C948" s="6"/>
      <c r="D948" s="6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 x14ac:dyDescent="0.35">
      <c r="A949" s="25"/>
      <c r="B949" s="25"/>
      <c r="C949" s="6"/>
      <c r="D949" s="6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 x14ac:dyDescent="0.35">
      <c r="A950" s="25"/>
      <c r="B950" s="25"/>
      <c r="C950" s="6"/>
      <c r="D950" s="6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 x14ac:dyDescent="0.35">
      <c r="A951" s="25"/>
      <c r="B951" s="25"/>
      <c r="C951" s="6"/>
      <c r="D951" s="6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 x14ac:dyDescent="0.35">
      <c r="A952" s="25"/>
      <c r="B952" s="25"/>
      <c r="C952" s="6"/>
      <c r="D952" s="6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 x14ac:dyDescent="0.35">
      <c r="A953" s="25"/>
      <c r="B953" s="25"/>
      <c r="C953" s="6"/>
      <c r="D953" s="6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 x14ac:dyDescent="0.35">
      <c r="A954" s="25"/>
      <c r="B954" s="25"/>
      <c r="C954" s="6"/>
      <c r="D954" s="6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 x14ac:dyDescent="0.35">
      <c r="A955" s="25"/>
      <c r="B955" s="25"/>
      <c r="C955" s="6"/>
      <c r="D955" s="6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 x14ac:dyDescent="0.35">
      <c r="A956" s="25"/>
      <c r="B956" s="25"/>
      <c r="C956" s="6"/>
      <c r="D956" s="6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 x14ac:dyDescent="0.35">
      <c r="A957" s="25"/>
      <c r="B957" s="25"/>
      <c r="C957" s="6"/>
      <c r="D957" s="6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 x14ac:dyDescent="0.35">
      <c r="A958" s="25"/>
      <c r="B958" s="25"/>
      <c r="C958" s="6"/>
      <c r="D958" s="6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 x14ac:dyDescent="0.35">
      <c r="A959" s="25"/>
      <c r="B959" s="25"/>
      <c r="C959" s="6"/>
      <c r="D959" s="6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 x14ac:dyDescent="0.35">
      <c r="A960" s="25"/>
      <c r="B960" s="25"/>
      <c r="C960" s="6"/>
      <c r="D960" s="6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 x14ac:dyDescent="0.35">
      <c r="A961" s="25"/>
      <c r="B961" s="25"/>
      <c r="C961" s="6"/>
      <c r="D961" s="6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 x14ac:dyDescent="0.35">
      <c r="A962" s="25"/>
      <c r="B962" s="25"/>
      <c r="C962" s="6"/>
      <c r="D962" s="6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 x14ac:dyDescent="0.35">
      <c r="A963" s="25"/>
      <c r="B963" s="25"/>
      <c r="C963" s="6"/>
      <c r="D963" s="6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 x14ac:dyDescent="0.35">
      <c r="A964" s="25"/>
      <c r="B964" s="25"/>
      <c r="C964" s="6"/>
      <c r="D964" s="6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 x14ac:dyDescent="0.35">
      <c r="A965" s="25"/>
      <c r="B965" s="25"/>
      <c r="C965" s="6"/>
      <c r="D965" s="6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 x14ac:dyDescent="0.35">
      <c r="A966" s="25"/>
      <c r="B966" s="25"/>
      <c r="C966" s="6"/>
      <c r="D966" s="6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 x14ac:dyDescent="0.35">
      <c r="A967" s="25"/>
      <c r="B967" s="25"/>
      <c r="C967" s="6"/>
      <c r="D967" s="6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 x14ac:dyDescent="0.35">
      <c r="A968" s="25"/>
      <c r="B968" s="25"/>
      <c r="C968" s="6"/>
      <c r="D968" s="6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 x14ac:dyDescent="0.35">
      <c r="A969" s="25"/>
      <c r="B969" s="25"/>
      <c r="C969" s="6"/>
      <c r="D969" s="6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 x14ac:dyDescent="0.35">
      <c r="A970" s="25"/>
      <c r="B970" s="25"/>
      <c r="C970" s="6"/>
      <c r="D970" s="6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 x14ac:dyDescent="0.35">
      <c r="A971" s="25"/>
      <c r="B971" s="25"/>
      <c r="C971" s="6"/>
      <c r="D971" s="6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 x14ac:dyDescent="0.35">
      <c r="A972" s="25"/>
      <c r="B972" s="25"/>
      <c r="C972" s="6"/>
      <c r="D972" s="6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 x14ac:dyDescent="0.35">
      <c r="A973" s="25"/>
      <c r="B973" s="25"/>
      <c r="C973" s="6"/>
      <c r="D973" s="6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 x14ac:dyDescent="0.35">
      <c r="A974" s="25"/>
      <c r="B974" s="25"/>
      <c r="C974" s="6"/>
      <c r="D974" s="6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 x14ac:dyDescent="0.35">
      <c r="A975" s="25"/>
      <c r="B975" s="25"/>
      <c r="C975" s="6"/>
      <c r="D975" s="6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 x14ac:dyDescent="0.35">
      <c r="A976" s="25"/>
      <c r="B976" s="25"/>
      <c r="C976" s="6"/>
      <c r="D976" s="6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 x14ac:dyDescent="0.35">
      <c r="A977" s="25"/>
      <c r="B977" s="25"/>
      <c r="C977" s="6"/>
      <c r="D977" s="6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 x14ac:dyDescent="0.35">
      <c r="A978" s="25"/>
      <c r="B978" s="25"/>
      <c r="C978" s="6"/>
      <c r="D978" s="6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 x14ac:dyDescent="0.35">
      <c r="A979" s="25"/>
      <c r="B979" s="25"/>
      <c r="C979" s="6"/>
      <c r="D979" s="6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 x14ac:dyDescent="0.35">
      <c r="A980" s="25"/>
      <c r="B980" s="25"/>
      <c r="C980" s="6"/>
      <c r="D980" s="6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 x14ac:dyDescent="0.35">
      <c r="A981" s="25"/>
      <c r="B981" s="25"/>
      <c r="C981" s="6"/>
      <c r="D981" s="6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 x14ac:dyDescent="0.35">
      <c r="A982" s="25"/>
      <c r="B982" s="25"/>
      <c r="C982" s="6"/>
      <c r="D982" s="6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 x14ac:dyDescent="0.35">
      <c r="A983" s="25"/>
      <c r="B983" s="25"/>
      <c r="C983" s="6"/>
      <c r="D983" s="6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 x14ac:dyDescent="0.35">
      <c r="A984" s="25"/>
      <c r="B984" s="25"/>
      <c r="C984" s="6"/>
      <c r="D984" s="6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 x14ac:dyDescent="0.35">
      <c r="A985" s="25"/>
      <c r="B985" s="25"/>
      <c r="C985" s="6"/>
      <c r="D985" s="6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 x14ac:dyDescent="0.35">
      <c r="A986" s="25"/>
      <c r="B986" s="25"/>
      <c r="C986" s="6"/>
      <c r="D986" s="6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 x14ac:dyDescent="0.35">
      <c r="A987" s="25"/>
      <c r="B987" s="25"/>
      <c r="C987" s="6"/>
      <c r="D987" s="6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 x14ac:dyDescent="0.35">
      <c r="A988" s="25"/>
      <c r="B988" s="25"/>
      <c r="C988" s="6"/>
      <c r="D988" s="6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 x14ac:dyDescent="0.35">
      <c r="A989" s="25"/>
      <c r="B989" s="25"/>
      <c r="C989" s="6"/>
      <c r="D989" s="6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 x14ac:dyDescent="0.35">
      <c r="A990" s="25"/>
      <c r="B990" s="25"/>
      <c r="C990" s="6"/>
      <c r="D990" s="6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 x14ac:dyDescent="0.35">
      <c r="A991" s="25"/>
      <c r="B991" s="25"/>
      <c r="C991" s="6"/>
      <c r="D991" s="6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 x14ac:dyDescent="0.35">
      <c r="A992" s="25"/>
      <c r="B992" s="25"/>
      <c r="C992" s="6"/>
      <c r="D992" s="6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 x14ac:dyDescent="0.35">
      <c r="A993" s="25"/>
      <c r="B993" s="25"/>
      <c r="C993" s="6"/>
      <c r="D993" s="6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 x14ac:dyDescent="0.35">
      <c r="A994" s="25"/>
      <c r="B994" s="25"/>
      <c r="C994" s="6"/>
      <c r="D994" s="6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 x14ac:dyDescent="0.35">
      <c r="A995" s="25"/>
      <c r="B995" s="25"/>
      <c r="C995" s="6"/>
      <c r="D995" s="6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 x14ac:dyDescent="0.35">
      <c r="A996" s="25"/>
      <c r="B996" s="25"/>
      <c r="C996" s="6"/>
      <c r="D996" s="6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 x14ac:dyDescent="0.35">
      <c r="A997" s="25"/>
      <c r="B997" s="25"/>
      <c r="C997" s="6"/>
      <c r="D997" s="6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 x14ac:dyDescent="0.35">
      <c r="A998" s="25"/>
      <c r="B998" s="25"/>
      <c r="C998" s="6"/>
      <c r="D998" s="6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 x14ac:dyDescent="0.35">
      <c r="A999" s="25"/>
      <c r="B999" s="25"/>
      <c r="C999" s="6"/>
      <c r="D999" s="6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 x14ac:dyDescent="0.35">
      <c r="A1000" s="25"/>
      <c r="B1000" s="25"/>
      <c r="C1000" s="6"/>
      <c r="D1000" s="6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B5:D494" xr:uid="{00000000-0009-0000-0000-000001000000}">
    <filterColumn colId="2">
      <filters>
        <filter val="301 &gt; 200"/>
        <filter val="301 &gt; 404"/>
        <filter val="404"/>
      </filters>
    </filterColumn>
  </autoFilter>
  <conditionalFormatting sqref="B6:B246">
    <cfRule type="expression" dxfId="0" priority="1">
      <formula>AND($B6&gt;0,ISNUMBER($B6))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 Traffic Analysis</vt:lpstr>
      <vt:lpstr>URLs to 301</vt:lpstr>
      <vt:lpstr>D40.04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2023-11-16T03:05:10Z</dcterms:modified>
</cp:coreProperties>
</file>